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ata Analyst\Projects\Excel - Dashboard\NEW\"/>
    </mc:Choice>
  </mc:AlternateContent>
  <xr:revisionPtr revIDLastSave="0" documentId="13_ncr:1_{A4CE6600-FB0D-4CE1-BA59-5F22276A82F1}"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Tables" sheetId="2" r:id="rId2"/>
    <sheet name="Dashboard" sheetId="3" r:id="rId3"/>
    <sheet name="Tables2" sheetId="5" r:id="rId4"/>
    <sheet name="Dashboard2" sheetId="4" r:id="rId5"/>
  </sheets>
  <definedNames>
    <definedName name="Slicer_Customer">#N/A</definedName>
    <definedName name="Slicer_Product1">#N/A</definedName>
    <definedName name="Slicer_Salesperson1">#N/A</definedName>
    <definedName name="Slicer_Year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1" i="5" l="1"/>
  <c r="A38" i="2"/>
  <c r="H806" i="1"/>
  <c r="G806" i="1"/>
  <c r="F806" i="1"/>
  <c r="A806" i="1"/>
  <c r="D36" i="4"/>
  <c r="D44" i="4"/>
  <c r="D37" i="4"/>
  <c r="D38" i="4"/>
  <c r="D39" i="4"/>
  <c r="D40" i="4"/>
  <c r="D41" i="4"/>
  <c r="D42" i="4"/>
  <c r="D35" i="4"/>
  <c r="D43" i="4"/>
  <c r="A55" i="5"/>
  <c r="D45" i="4" l="1"/>
</calcChain>
</file>

<file path=xl/sharedStrings.xml><?xml version="1.0" encoding="utf-8"?>
<sst xmlns="http://schemas.openxmlformats.org/spreadsheetml/2006/main" count="4157" uniqueCount="270">
  <si>
    <t>Year</t>
  </si>
  <si>
    <t>Salesperson</t>
  </si>
  <si>
    <t>Customer ID</t>
  </si>
  <si>
    <t>Customer</t>
  </si>
  <si>
    <t>Product</t>
  </si>
  <si>
    <t>Amount</t>
  </si>
  <si>
    <t>Offers</t>
  </si>
  <si>
    <t>Orders</t>
  </si>
  <si>
    <t>Salesperson 1</t>
  </si>
  <si>
    <t>S00411</t>
  </si>
  <si>
    <t>Customer Name 1</t>
  </si>
  <si>
    <t>Product N1</t>
  </si>
  <si>
    <t>Salesperson 2</t>
  </si>
  <si>
    <t>Customer Name 2</t>
  </si>
  <si>
    <t>Product N2</t>
  </si>
  <si>
    <t>Salesperson 3</t>
  </si>
  <si>
    <t>Customer Name 3</t>
  </si>
  <si>
    <t>Product N3</t>
  </si>
  <si>
    <t>Salesperson 4</t>
  </si>
  <si>
    <t>Customer Name 4</t>
  </si>
  <si>
    <t>Product N4</t>
  </si>
  <si>
    <t>Customer Name 5</t>
  </si>
  <si>
    <t>Product N5</t>
  </si>
  <si>
    <t>Salesperson 5</t>
  </si>
  <si>
    <t>Customer Name 6</t>
  </si>
  <si>
    <t>Customer Name 7</t>
  </si>
  <si>
    <t>Product N6</t>
  </si>
  <si>
    <t>Salesperson 6</t>
  </si>
  <si>
    <t>Customer Name 8</t>
  </si>
  <si>
    <t>Salesperson 7</t>
  </si>
  <si>
    <t>Customer Name 9</t>
  </si>
  <si>
    <t>Customer Name 10</t>
  </si>
  <si>
    <t>Customer Name 11</t>
  </si>
  <si>
    <t>Customer Name 12</t>
  </si>
  <si>
    <t>Customer Name 13</t>
  </si>
  <si>
    <t>Product N7</t>
  </si>
  <si>
    <t>Customer Name 14</t>
  </si>
  <si>
    <t>Customer Name 15</t>
  </si>
  <si>
    <t>Product N8</t>
  </si>
  <si>
    <t>Customer Name 16</t>
  </si>
  <si>
    <t>Customer Name 17</t>
  </si>
  <si>
    <t>Customer Name 18</t>
  </si>
  <si>
    <t>Customer Name 19</t>
  </si>
  <si>
    <t>Customer Name 20</t>
  </si>
  <si>
    <t>Customer Name 21</t>
  </si>
  <si>
    <t>Customer Name 22</t>
  </si>
  <si>
    <t>Customer Name 23</t>
  </si>
  <si>
    <t>Customer Name 24</t>
  </si>
  <si>
    <t>Customer Name 25</t>
  </si>
  <si>
    <t>Customer Name 26</t>
  </si>
  <si>
    <t>Salesperson 8</t>
  </si>
  <si>
    <t>Customer Name 27</t>
  </si>
  <si>
    <t>Customer Name 28</t>
  </si>
  <si>
    <t>Customer Name 29</t>
  </si>
  <si>
    <t>Salesperson 9</t>
  </si>
  <si>
    <t>Customer Name 30</t>
  </si>
  <si>
    <t>Customer Name 31</t>
  </si>
  <si>
    <t>Customer Name 32</t>
  </si>
  <si>
    <t>Customer Name 33</t>
  </si>
  <si>
    <t>Salesperson 10</t>
  </si>
  <si>
    <t>Customer Name 34</t>
  </si>
  <si>
    <t>Customer Name 35</t>
  </si>
  <si>
    <t>Customer Name 36</t>
  </si>
  <si>
    <t>Customer Name 37</t>
  </si>
  <si>
    <t>Customer Name 38</t>
  </si>
  <si>
    <t>Customer Name 39</t>
  </si>
  <si>
    <t>Product N9</t>
  </si>
  <si>
    <t>Customer Name 40</t>
  </si>
  <si>
    <t>Customer Name 41</t>
  </si>
  <si>
    <t>Customer Name 42</t>
  </si>
  <si>
    <t>Customer Name 43</t>
  </si>
  <si>
    <t>Customer Name 44</t>
  </si>
  <si>
    <t>Customer Name 45</t>
  </si>
  <si>
    <t>Customer Name 46</t>
  </si>
  <si>
    <t>Customer Name 47</t>
  </si>
  <si>
    <t>Customer Name 48</t>
  </si>
  <si>
    <t>Customer Name 49</t>
  </si>
  <si>
    <t>Customer Name 50</t>
  </si>
  <si>
    <t>Customer Name 51</t>
  </si>
  <si>
    <t>Customer Name 52</t>
  </si>
  <si>
    <t>Customer Name 53</t>
  </si>
  <si>
    <t>Customer Name 54</t>
  </si>
  <si>
    <t>Customer Name 55</t>
  </si>
  <si>
    <t>Customer Name 56</t>
  </si>
  <si>
    <t>Customer Name 57</t>
  </si>
  <si>
    <t>Customer Name 58</t>
  </si>
  <si>
    <t>Customer Name 59</t>
  </si>
  <si>
    <t>Customer Name 60</t>
  </si>
  <si>
    <t>Customer Name 61</t>
  </si>
  <si>
    <t>Customer Name 62</t>
  </si>
  <si>
    <t>Customer Name 63</t>
  </si>
  <si>
    <t>Customer Name 64</t>
  </si>
  <si>
    <t>Customer Name 65</t>
  </si>
  <si>
    <t>Customer Name 66</t>
  </si>
  <si>
    <t>Customer Name 67</t>
  </si>
  <si>
    <t>Customer Name 68</t>
  </si>
  <si>
    <t>Customer Name 69</t>
  </si>
  <si>
    <t>Customer Name 70</t>
  </si>
  <si>
    <t>Customer Name 71</t>
  </si>
  <si>
    <t>Customer Name 72</t>
  </si>
  <si>
    <t>Customer Name 73</t>
  </si>
  <si>
    <t>Customer Name 74</t>
  </si>
  <si>
    <t>Customer Name 75</t>
  </si>
  <si>
    <t>Customer Name 76</t>
  </si>
  <si>
    <t>Customer Name 77</t>
  </si>
  <si>
    <t>Customer Name 78</t>
  </si>
  <si>
    <t>Customer Name 79</t>
  </si>
  <si>
    <t>Customer Name 80</t>
  </si>
  <si>
    <t>Customer Name 81</t>
  </si>
  <si>
    <t>Customer Name 82</t>
  </si>
  <si>
    <t>Customer Name 83</t>
  </si>
  <si>
    <t>Customer Name 84</t>
  </si>
  <si>
    <t>Customer Name 85</t>
  </si>
  <si>
    <t>Customer Name 86</t>
  </si>
  <si>
    <t>Customer Name 87</t>
  </si>
  <si>
    <t>Customer Name 88</t>
  </si>
  <si>
    <t>Customer Name 89</t>
  </si>
  <si>
    <t>Customer Name 90</t>
  </si>
  <si>
    <t>Customer Name 91</t>
  </si>
  <si>
    <t>Customer Name 92</t>
  </si>
  <si>
    <t>Customer Name 93</t>
  </si>
  <si>
    <t>Customer Name 94</t>
  </si>
  <si>
    <t>Customer Name 95</t>
  </si>
  <si>
    <t>Customer Name 96</t>
  </si>
  <si>
    <t>Customer Name 97</t>
  </si>
  <si>
    <t>Customer Name 98</t>
  </si>
  <si>
    <t>Customer Name 99</t>
  </si>
  <si>
    <t>Customer Name 100</t>
  </si>
  <si>
    <t>Customer Name 101</t>
  </si>
  <si>
    <t>Customer Name 102</t>
  </si>
  <si>
    <t>Customer Name 103</t>
  </si>
  <si>
    <t>Customer Name 104</t>
  </si>
  <si>
    <t>Customer Name 105</t>
  </si>
  <si>
    <t>Customer Name 106</t>
  </si>
  <si>
    <t>Customer Name 107</t>
  </si>
  <si>
    <t>Customer Name 108</t>
  </si>
  <si>
    <t>Customer Name 109</t>
  </si>
  <si>
    <t>Customer Name 110</t>
  </si>
  <si>
    <t>Customer Name 111</t>
  </si>
  <si>
    <t>Customer Name 112</t>
  </si>
  <si>
    <t>Customer Name 113</t>
  </si>
  <si>
    <t>Customer Name 114</t>
  </si>
  <si>
    <t>Customer Name 115</t>
  </si>
  <si>
    <t>Customer Name 116</t>
  </si>
  <si>
    <t>Customer Name 117</t>
  </si>
  <si>
    <t>Customer Name 118</t>
  </si>
  <si>
    <t>Customer Name 119</t>
  </si>
  <si>
    <t>Customer Name 120</t>
  </si>
  <si>
    <t>Customer Name 121</t>
  </si>
  <si>
    <t>Customer Name 122</t>
  </si>
  <si>
    <t>Customer Name 123</t>
  </si>
  <si>
    <t>Customer Name 124</t>
  </si>
  <si>
    <t>Customer Name 125</t>
  </si>
  <si>
    <t>Customer Name 126</t>
  </si>
  <si>
    <t>Customer Name 127</t>
  </si>
  <si>
    <t>Customer Name 128</t>
  </si>
  <si>
    <t>Customer Name 129</t>
  </si>
  <si>
    <t>Customer Name 130</t>
  </si>
  <si>
    <t>Customer Name 131</t>
  </si>
  <si>
    <t>Customer Name 132</t>
  </si>
  <si>
    <t>Customer Name 133</t>
  </si>
  <si>
    <t>Customer Name 134</t>
  </si>
  <si>
    <t>Customer Name 135</t>
  </si>
  <si>
    <t>Customer Name 136</t>
  </si>
  <si>
    <t>Customer Name 137</t>
  </si>
  <si>
    <t>Customer Name 138</t>
  </si>
  <si>
    <t>Customer Name 139</t>
  </si>
  <si>
    <t>Customer Name 140</t>
  </si>
  <si>
    <t>Customer Name 141</t>
  </si>
  <si>
    <t>Customer Name 142</t>
  </si>
  <si>
    <t>Customer Name 143</t>
  </si>
  <si>
    <t>Customer Name 144</t>
  </si>
  <si>
    <t>Customer Name 145</t>
  </si>
  <si>
    <t>Customer Name 146</t>
  </si>
  <si>
    <t>Customer Name 147</t>
  </si>
  <si>
    <t>Customer Name 148</t>
  </si>
  <si>
    <t>Customer Name 149</t>
  </si>
  <si>
    <t>Customer Name 150</t>
  </si>
  <si>
    <t>Customer Name 151</t>
  </si>
  <si>
    <t>Customer Name 152</t>
  </si>
  <si>
    <t>Customer Name 153</t>
  </si>
  <si>
    <t>Customer Name 154</t>
  </si>
  <si>
    <t>Customer Name 155</t>
  </si>
  <si>
    <t>Customer Name 156</t>
  </si>
  <si>
    <t>Customer Name 157</t>
  </si>
  <si>
    <t>Customer Name 158</t>
  </si>
  <si>
    <t>Customer Name 159</t>
  </si>
  <si>
    <t>Customer Name 160</t>
  </si>
  <si>
    <t>Customer Name 161</t>
  </si>
  <si>
    <t>Customer Name 162</t>
  </si>
  <si>
    <t>Customer Name 163</t>
  </si>
  <si>
    <t>Customer Name 164</t>
  </si>
  <si>
    <t>Customer Name 165</t>
  </si>
  <si>
    <t>Customer Name 166</t>
  </si>
  <si>
    <t>Customer Name 167</t>
  </si>
  <si>
    <t>Customer Name 168</t>
  </si>
  <si>
    <t>Customer Name 169</t>
  </si>
  <si>
    <t>Customer Name 170</t>
  </si>
  <si>
    <t>Customer Name 171</t>
  </si>
  <si>
    <t>Customer Name 172</t>
  </si>
  <si>
    <t>Customer Name 173</t>
  </si>
  <si>
    <t>Customer Name 174</t>
  </si>
  <si>
    <t>Customer Name 175</t>
  </si>
  <si>
    <t>Customer Name 176</t>
  </si>
  <si>
    <t>Customer Name 177</t>
  </si>
  <si>
    <t>Customer Name 178</t>
  </si>
  <si>
    <t>Customer Name 179</t>
  </si>
  <si>
    <t>Customer Name 180</t>
  </si>
  <si>
    <t>Customer Name 181</t>
  </si>
  <si>
    <t>Customer Name 182</t>
  </si>
  <si>
    <t>Customer Name 183</t>
  </si>
  <si>
    <t>Customer Name 184</t>
  </si>
  <si>
    <t>Customer Name 185</t>
  </si>
  <si>
    <t>Customer Name 186</t>
  </si>
  <si>
    <t>Customer Name 187</t>
  </si>
  <si>
    <t>Customer Name 188</t>
  </si>
  <si>
    <t>Customer Name 189</t>
  </si>
  <si>
    <t>Customer Name 190</t>
  </si>
  <si>
    <t>Customer Name 191</t>
  </si>
  <si>
    <t>Customer Name 192</t>
  </si>
  <si>
    <t>Customer Name 193</t>
  </si>
  <si>
    <t>Customer Name 194</t>
  </si>
  <si>
    <t>Customer Name 195</t>
  </si>
  <si>
    <t>Customer Name 196</t>
  </si>
  <si>
    <t>Customer Name 197</t>
  </si>
  <si>
    <t>Customer Name 198</t>
  </si>
  <si>
    <t>Customer Name 199</t>
  </si>
  <si>
    <t>Customer Name 200</t>
  </si>
  <si>
    <t>S00432</t>
  </si>
  <si>
    <t>S00501</t>
  </si>
  <si>
    <t>S00597</t>
  </si>
  <si>
    <t>S00348</t>
  </si>
  <si>
    <t>S00573</t>
  </si>
  <si>
    <t>S00689</t>
  </si>
  <si>
    <t>S00663</t>
  </si>
  <si>
    <t>S00688</t>
  </si>
  <si>
    <t>S00759</t>
  </si>
  <si>
    <t>Sum of Amount</t>
  </si>
  <si>
    <t>Sum of Orders</t>
  </si>
  <si>
    <t>Sum of Offers</t>
  </si>
  <si>
    <t>Total Customer</t>
  </si>
  <si>
    <t>Row Labels</t>
  </si>
  <si>
    <t>Grand Total</t>
  </si>
  <si>
    <t>Sales Performance Analytics Dashboard</t>
  </si>
  <si>
    <t>Count of Salesperson</t>
  </si>
  <si>
    <t>Average Sales per Order</t>
  </si>
  <si>
    <t>% of Total</t>
  </si>
  <si>
    <t>Month</t>
  </si>
  <si>
    <t>Quantity</t>
  </si>
  <si>
    <t>Transaction</t>
  </si>
  <si>
    <t>Jan</t>
  </si>
  <si>
    <t>Feb</t>
  </si>
  <si>
    <t>Mar</t>
  </si>
  <si>
    <t>Apr</t>
  </si>
  <si>
    <t>May</t>
  </si>
  <si>
    <t>Jun</t>
  </si>
  <si>
    <t>Jul</t>
  </si>
  <si>
    <t>Aug</t>
  </si>
  <si>
    <t>Sep</t>
  </si>
  <si>
    <t>Oct</t>
  </si>
  <si>
    <t>Nov</t>
  </si>
  <si>
    <t>Dec</t>
  </si>
  <si>
    <t>Sum of Quantity</t>
  </si>
  <si>
    <t>Sum of Transaction</t>
  </si>
  <si>
    <t>Sales Amount</t>
  </si>
  <si>
    <t>Transactions</t>
  </si>
  <si>
    <t>Quanties</t>
  </si>
  <si>
    <t>Customers</t>
  </si>
  <si>
    <t>Sales Performance Dashboard</t>
  </si>
  <si>
    <t>Dashboard created by Saumya Shah | Microsoft Excel | 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</si>
</sst>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2" x14ac:knownFonts="1">
    <font>
      <sz val="11"/>
      <color theme="1"/>
      <name val="Calibri"/>
      <family val="2"/>
      <scheme val="minor"/>
    </font>
    <font>
      <sz val="20"/>
      <color theme="0"/>
      <name val="Calibri"/>
      <family val="2"/>
    </font>
    <font>
      <sz val="20"/>
      <color theme="1"/>
      <name val="Calibri"/>
      <family val="2"/>
    </font>
    <font>
      <sz val="24"/>
      <color theme="1"/>
      <name val="Calibri"/>
      <family val="2"/>
      <scheme val="minor"/>
    </font>
    <font>
      <b/>
      <sz val="24"/>
      <color theme="1"/>
      <name val="Calibri"/>
      <family val="2"/>
      <scheme val="minor"/>
    </font>
    <font>
      <sz val="15"/>
      <color theme="1"/>
      <name val="Calibri"/>
      <family val="2"/>
      <scheme val="minor"/>
    </font>
    <font>
      <sz val="8"/>
      <name val="Calibri"/>
      <family val="2"/>
      <scheme val="minor"/>
    </font>
    <font>
      <sz val="20"/>
      <color rgb="FF000000"/>
      <name val="Calibri"/>
      <family val="2"/>
      <scheme val="minor"/>
    </font>
    <font>
      <b/>
      <sz val="30"/>
      <color theme="0"/>
      <name val="ADLaM Display"/>
    </font>
    <font>
      <b/>
      <sz val="30"/>
      <color theme="0"/>
      <name val="Segoe UI"/>
      <family val="2"/>
    </font>
    <font>
      <b/>
      <sz val="15"/>
      <color theme="0"/>
      <name val="Calibri"/>
      <family val="2"/>
      <scheme val="minor"/>
    </font>
    <font>
      <sz val="15"/>
      <color theme="0"/>
      <name val="Calibri"/>
      <family val="2"/>
      <scheme val="minor"/>
    </font>
  </fonts>
  <fills count="7">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3" tint="-0.499984740745262"/>
        <bgColor indexed="64"/>
      </patternFill>
    </fill>
  </fills>
  <borders count="3">
    <border>
      <left/>
      <right/>
      <top/>
      <bottom/>
      <diagonal/>
    </border>
    <border>
      <left/>
      <right/>
      <top/>
      <bottom style="thin">
        <color theme="4" tint="0.39997558519241921"/>
      </bottom>
      <diagonal/>
    </border>
    <border>
      <left/>
      <right/>
      <top/>
      <bottom style="thin">
        <color rgb="FFB5C8FF"/>
      </bottom>
      <diagonal/>
    </border>
  </borders>
  <cellStyleXfs count="1">
    <xf numFmtId="0" fontId="0" fillId="0" borderId="0"/>
  </cellStyleXfs>
  <cellXfs count="31">
    <xf numFmtId="0" fontId="0" fillId="0" borderId="0" xfId="0"/>
    <xf numFmtId="0" fontId="1" fillId="2" borderId="0" xfId="0" applyFont="1" applyFill="1" applyAlignment="1" applyProtection="1">
      <alignment horizontal="center" vertical="center"/>
      <protection locked="0"/>
    </xf>
    <xf numFmtId="0" fontId="2" fillId="0" borderId="0" xfId="0" applyFont="1" applyAlignment="1" applyProtection="1">
      <alignment horizontal="center" vertical="center"/>
      <protection locked="0"/>
    </xf>
    <xf numFmtId="3" fontId="2" fillId="0" borderId="0" xfId="0" applyNumberFormat="1" applyFont="1" applyAlignment="1" applyProtection="1">
      <alignment horizontal="center" vertical="center"/>
      <protection locked="0"/>
    </xf>
    <xf numFmtId="3" fontId="0" fillId="0" borderId="0" xfId="0" applyNumberFormat="1"/>
    <xf numFmtId="0" fontId="3" fillId="0" borderId="0" xfId="0" applyFont="1" applyAlignment="1">
      <alignment horizontal="center"/>
    </xf>
    <xf numFmtId="3" fontId="3" fillId="0" borderId="0" xfId="0" applyNumberFormat="1" applyFont="1" applyAlignment="1">
      <alignment horizontal="center"/>
    </xf>
    <xf numFmtId="164" fontId="3" fillId="0" borderId="0" xfId="0" applyNumberFormat="1" applyFont="1" applyAlignment="1">
      <alignment horizontal="center"/>
    </xf>
    <xf numFmtId="0" fontId="4" fillId="3" borderId="0" xfId="0" applyFont="1" applyFill="1" applyAlignment="1">
      <alignment horizontal="center"/>
    </xf>
    <xf numFmtId="0" fontId="0" fillId="0" borderId="0" xfId="0" pivotButton="1"/>
    <xf numFmtId="0" fontId="0" fillId="0" borderId="0" xfId="0" applyAlignment="1">
      <alignment horizontal="left"/>
    </xf>
    <xf numFmtId="0" fontId="5" fillId="0" borderId="0" xfId="0" pivotButton="1" applyFont="1"/>
    <xf numFmtId="0" fontId="5" fillId="0" borderId="0" xfId="0" applyFont="1"/>
    <xf numFmtId="0" fontId="5" fillId="0" borderId="0" xfId="0" applyFont="1" applyAlignment="1">
      <alignment horizontal="left"/>
    </xf>
    <xf numFmtId="3" fontId="5" fillId="0" borderId="0" xfId="0" applyNumberFormat="1" applyFont="1"/>
    <xf numFmtId="0" fontId="0" fillId="4" borderId="0" xfId="0" applyFill="1"/>
    <xf numFmtId="3" fontId="5" fillId="0" borderId="0" xfId="0" applyNumberFormat="1" applyFont="1" applyAlignment="1">
      <alignment horizontal="left"/>
    </xf>
    <xf numFmtId="0" fontId="1" fillId="2" borderId="2" xfId="0" applyFont="1" applyFill="1" applyBorder="1" applyAlignment="1" applyProtection="1">
      <alignment horizontal="center" vertical="center"/>
      <protection locked="0"/>
    </xf>
    <xf numFmtId="0" fontId="7" fillId="0" borderId="0" xfId="0" applyFont="1" applyAlignment="1">
      <alignment horizontal="center"/>
    </xf>
    <xf numFmtId="164" fontId="3" fillId="0" borderId="0" xfId="0" applyNumberFormat="1" applyFont="1"/>
    <xf numFmtId="0" fontId="11" fillId="6" borderId="0" xfId="0" applyFont="1" applyFill="1" applyAlignment="1">
      <alignment horizontal="center"/>
    </xf>
    <xf numFmtId="3" fontId="11" fillId="6" borderId="0" xfId="0" applyNumberFormat="1" applyFont="1" applyFill="1" applyAlignment="1">
      <alignment horizontal="center"/>
    </xf>
    <xf numFmtId="0" fontId="10" fillId="5" borderId="0" xfId="0" applyFont="1" applyFill="1" applyAlignment="1">
      <alignment horizontal="center"/>
    </xf>
    <xf numFmtId="3" fontId="10" fillId="5" borderId="0" xfId="0" applyNumberFormat="1" applyFont="1" applyFill="1" applyAlignment="1">
      <alignment horizontal="center"/>
    </xf>
    <xf numFmtId="0" fontId="10" fillId="6" borderId="1" xfId="0" applyFont="1" applyFill="1" applyBorder="1" applyAlignment="1">
      <alignment horizontal="center"/>
    </xf>
    <xf numFmtId="10" fontId="11" fillId="6" borderId="0" xfId="0" applyNumberFormat="1" applyFont="1" applyFill="1" applyAlignment="1">
      <alignment horizontal="center"/>
    </xf>
    <xf numFmtId="10" fontId="10" fillId="6" borderId="0" xfId="0" applyNumberFormat="1" applyFont="1" applyFill="1" applyAlignment="1">
      <alignment horizontal="center"/>
    </xf>
    <xf numFmtId="0" fontId="8" fillId="6" borderId="0" xfId="0" applyFont="1" applyFill="1" applyAlignment="1">
      <alignment horizontal="center"/>
    </xf>
    <xf numFmtId="0" fontId="9" fillId="5" borderId="0" xfId="0" applyFont="1" applyFill="1" applyAlignment="1">
      <alignment horizontal="center"/>
    </xf>
    <xf numFmtId="0" fontId="5" fillId="0" borderId="0" xfId="0" applyNumberFormat="1" applyFont="1"/>
    <xf numFmtId="0" fontId="0" fillId="4" borderId="0" xfId="0" applyFill="1" applyAlignment="1">
      <alignment horizontal="center"/>
    </xf>
  </cellXfs>
  <cellStyles count="1">
    <cellStyle name="Normal" xfId="0" builtinId="0"/>
  </cellStyles>
  <dxfs count="233">
    <dxf>
      <font>
        <sz val="15"/>
      </font>
    </dxf>
    <dxf>
      <font>
        <sz val="15"/>
      </font>
    </dxf>
    <dxf>
      <font>
        <sz val="15"/>
      </font>
    </dxf>
    <dxf>
      <font>
        <sz val="15"/>
      </font>
    </dxf>
    <dxf>
      <font>
        <sz val="15"/>
      </font>
    </dxf>
    <dxf>
      <font>
        <sz val="15"/>
      </font>
    </dxf>
    <dxf>
      <alignment horizontal="center"/>
    </dxf>
    <dxf>
      <font>
        <sz val="24"/>
      </font>
    </dxf>
    <dxf>
      <font>
        <sz val="24"/>
      </font>
    </dxf>
    <dxf>
      <font>
        <sz val="24"/>
      </font>
    </dxf>
    <dxf>
      <numFmt numFmtId="164" formatCode="&quot;$&quot;#,##0.00"/>
    </dxf>
    <dxf>
      <font>
        <sz val="15"/>
      </font>
    </dxf>
    <dxf>
      <font>
        <sz val="15"/>
      </font>
    </dxf>
    <dxf>
      <alignment horizontal="center"/>
    </dxf>
    <dxf>
      <alignment horizontal="center"/>
    </dxf>
    <dxf>
      <alignment horizontal="center"/>
    </dxf>
    <dxf>
      <font>
        <sz val="24"/>
      </font>
    </dxf>
    <dxf>
      <font>
        <sz val="24"/>
      </font>
    </dxf>
    <dxf>
      <font>
        <sz val="24"/>
      </font>
    </dxf>
    <dxf>
      <font>
        <sz val="24"/>
      </font>
    </dxf>
    <dxf>
      <font>
        <sz val="24"/>
      </font>
    </dxf>
    <dxf>
      <font>
        <sz val="24"/>
      </font>
    </dxf>
    <dxf>
      <alignment horizontal="center"/>
    </dxf>
    <dxf>
      <alignment horizontal="center"/>
    </dxf>
    <dxf>
      <alignment horizontal="center"/>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font>
        <sz val="24"/>
      </font>
    </dxf>
    <dxf>
      <font>
        <sz val="24"/>
      </font>
    </dxf>
    <dxf>
      <font>
        <sz val="24"/>
      </font>
    </dxf>
    <dxf>
      <alignment horizontal="center"/>
    </dxf>
    <dxf>
      <alignment horizontal="center"/>
    </dxf>
    <dxf>
      <alignment horizontal="center"/>
    </dxf>
    <dxf>
      <font>
        <sz val="24"/>
      </font>
    </dxf>
    <dxf>
      <font>
        <sz val="24"/>
      </font>
    </dxf>
    <dxf>
      <font>
        <sz val="24"/>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font>
        <sz val="24"/>
      </font>
    </dxf>
    <dxf>
      <font>
        <sz val="24"/>
      </font>
    </dxf>
    <dxf>
      <font>
        <sz val="24"/>
      </font>
    </dxf>
    <dxf>
      <numFmt numFmtId="164" formatCode="&quot;$&quot;#,##0.00"/>
    </dxf>
    <dxf>
      <alignment horizontal="center"/>
    </dxf>
    <dxf>
      <alignment horizontal="center"/>
    </dxf>
    <dxf>
      <alignment horizontal="center"/>
    </dxf>
    <dxf>
      <font>
        <sz val="24"/>
      </font>
    </dxf>
    <dxf>
      <font>
        <sz val="24"/>
      </font>
    </dxf>
    <dxf>
      <font>
        <sz val="24"/>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font>
        <sz val="24"/>
      </font>
    </dxf>
    <dxf>
      <font>
        <sz val="24"/>
      </font>
    </dxf>
    <dxf>
      <font>
        <sz val="24"/>
      </font>
    </dxf>
    <dxf>
      <font>
        <sz val="15"/>
      </font>
    </dxf>
    <dxf>
      <font>
        <sz val="15"/>
      </font>
    </dxf>
    <dxf>
      <font>
        <sz val="15"/>
      </font>
    </dxf>
    <dxf>
      <font>
        <sz val="15"/>
      </font>
    </dxf>
    <dxf>
      <font>
        <sz val="15"/>
      </font>
    </dxf>
    <dxf>
      <font>
        <sz val="15"/>
      </font>
    </dxf>
    <dxf>
      <alignment horizontal="center"/>
    </dxf>
    <dxf>
      <alignment horizontal="center"/>
    </dxf>
    <dxf>
      <alignment horizontal="center"/>
    </dxf>
    <dxf>
      <font>
        <sz val="24"/>
      </font>
    </dxf>
    <dxf>
      <font>
        <sz val="24"/>
      </font>
    </dxf>
    <dxf>
      <font>
        <sz val="24"/>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sz val="15"/>
      </font>
    </dxf>
    <dxf>
      <font>
        <b val="0"/>
        <i val="0"/>
        <strike val="0"/>
        <condense val="0"/>
        <extend val="0"/>
        <outline val="0"/>
        <shadow val="0"/>
        <u val="none"/>
        <vertAlign val="baseline"/>
        <sz val="20"/>
        <color theme="1"/>
        <name val="Calibri"/>
        <family val="2"/>
        <scheme val="none"/>
      </font>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20"/>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none"/>
      </font>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20"/>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Calibri"/>
        <family val="2"/>
        <scheme val="none"/>
      </font>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numFmt numFmtId="3"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font>
        <b val="0"/>
        <strike val="0"/>
        <outline val="0"/>
        <shadow val="0"/>
        <u val="none"/>
        <vertAlign val="baseline"/>
        <sz val="20"/>
        <color theme="1"/>
        <name val="Calibri"/>
        <family val="2"/>
        <scheme val="none"/>
      </font>
      <fill>
        <patternFill patternType="none">
          <fgColor indexed="64"/>
          <bgColor auto="1"/>
        </patternFill>
      </fill>
      <alignment textRotation="0" wrapText="0" indent="0" justifyLastLine="0" shrinkToFit="0" readingOrder="0"/>
      <protection locked="0" hidden="0"/>
    </dxf>
    <dxf>
      <font>
        <b val="0"/>
        <strike val="0"/>
        <outline val="0"/>
        <shadow val="0"/>
        <u val="none"/>
        <vertAlign val="baseline"/>
        <sz val="20"/>
        <color theme="1"/>
        <name val="Calibri"/>
        <family val="2"/>
        <scheme val="none"/>
      </font>
      <fill>
        <patternFill patternType="none">
          <fgColor indexed="64"/>
          <bgColor auto="1"/>
        </patternFill>
      </fill>
      <alignment horizontal="center" vertical="center" textRotation="0" wrapText="0" indent="0" justifyLastLine="0" shrinkToFit="0" readingOrder="0"/>
      <protection locked="0" hidden="0"/>
    </dxf>
    <dxf>
      <border>
        <bottom style="thin">
          <color rgb="FFB5C8FF"/>
        </bottom>
      </border>
    </dxf>
    <dxf>
      <font>
        <b val="0"/>
        <strike val="0"/>
        <outline val="0"/>
        <shadow val="0"/>
        <u val="none"/>
        <vertAlign val="baseline"/>
        <sz val="20"/>
        <color theme="0"/>
        <name val="Calibri"/>
        <family val="2"/>
        <scheme val="none"/>
      </font>
      <fill>
        <patternFill patternType="solid">
          <fgColor indexed="64"/>
          <bgColor theme="1"/>
        </patternFill>
      </fill>
      <alignment horizontal="center" vertical="center" textRotation="0" wrapText="0" indent="0" justifyLastLine="0" shrinkToFit="0" readingOrder="0"/>
      <protection locked="0" hidden="0"/>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color theme="0"/>
      </font>
    </dxf>
    <dxf>
      <font>
        <color theme="0"/>
      </font>
    </dxf>
    <dxf>
      <font>
        <color theme="0"/>
      </font>
    </dxf>
    <dxf>
      <font>
        <color theme="0"/>
      </font>
    </dxf>
    <dxf>
      <font>
        <color theme="0"/>
      </font>
    </dxf>
    <dxf>
      <font>
        <color theme="0"/>
      </font>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ill>
        <patternFill>
          <bgColor theme="5" tint="-0.499984740745262"/>
        </patternFill>
      </fill>
    </dxf>
    <dxf>
      <font>
        <b/>
      </font>
    </dxf>
    <dxf>
      <font>
        <b/>
      </font>
    </dxf>
    <dxf>
      <font>
        <b/>
      </font>
    </dxf>
    <dxf>
      <font>
        <b/>
      </font>
    </dxf>
    <dxf>
      <font>
        <b/>
      </font>
    </dxf>
    <dxf>
      <font>
        <b/>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ont>
        <color theme="0"/>
      </font>
    </dxf>
    <dxf>
      <font>
        <color theme="0"/>
      </font>
    </dxf>
    <dxf>
      <font>
        <color theme="0"/>
      </font>
    </dxf>
    <dxf>
      <font>
        <color theme="0"/>
      </font>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alignment horizontal="center"/>
    </dxf>
    <dxf>
      <alignment horizontal="center"/>
    </dxf>
    <dxf>
      <alignment horizontal="center"/>
    </dxf>
    <dxf>
      <alignment horizontal="center"/>
    </dxf>
    <dxf>
      <alignment horizontal="center"/>
    </dxf>
    <dxf>
      <alignment horizontal="center"/>
    </dxf>
    <dxf>
      <font>
        <sz val="15"/>
      </font>
    </dxf>
    <dxf>
      <font>
        <sz val="15"/>
      </font>
    </dxf>
    <dxf>
      <font>
        <sz val="15"/>
      </font>
    </dxf>
    <dxf>
      <font>
        <sz val="15"/>
      </font>
    </dxf>
    <dxf>
      <font>
        <sz val="15"/>
      </font>
    </dxf>
    <dxf>
      <font>
        <sz val="15"/>
      </font>
    </dxf>
    <dxf>
      <fill>
        <patternFill patternType="solid">
          <fgColor theme="0" tint="-0.14999847407452621"/>
          <bgColor theme="0" tint="-0.14999847407452621"/>
        </patternFill>
      </fill>
    </dxf>
    <dxf>
      <fill>
        <patternFill patternType="solid">
          <fgColor theme="0" tint="-0.14996795556505021"/>
          <bgColor theme="0" tint="-4.9989318521683403E-2"/>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C64F8F5C-4BCF-4132-AB0E-F54BDEE0FBA5}">
      <tableStyleElement type="wholeTable" dxfId="232"/>
      <tableStyleElement type="headerRow" dxfId="231"/>
      <tableStyleElement type="totalRow" dxfId="230"/>
      <tableStyleElement type="firstColumn" dxfId="229"/>
      <tableStyleElement type="lastColumn" dxfId="228"/>
      <tableStyleElement type="firstRowStripe" dxfId="227"/>
      <tableStyleElement type="firstColumnStripe" dxfId="2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1"/>
              <c:pt idx="0">
                <c:v>Total</c:v>
              </c:pt>
            </c:strLit>
          </c:cat>
          <c:val>
            <c:numLit>
              <c:formatCode>General</c:formatCode>
              <c:ptCount val="1"/>
              <c:pt idx="0">
                <c:v>476884225.97747302</c:v>
              </c:pt>
            </c:numLit>
          </c:val>
          <c:extLst>
            <c:ext xmlns:c16="http://schemas.microsoft.com/office/drawing/2014/chart" uri="{C3380CC4-5D6E-409C-BE32-E72D297353CC}">
              <c16:uniqueId val="{00000000-E5FA-4AFF-A230-499323FFEF92}"/>
            </c:ext>
          </c:extLst>
        </c:ser>
        <c:dLbls>
          <c:showLegendKey val="0"/>
          <c:showVal val="0"/>
          <c:showCatName val="0"/>
          <c:showSerName val="0"/>
          <c:showPercent val="0"/>
          <c:showBubbleSize val="0"/>
        </c:dLbls>
        <c:gapWidth val="219"/>
        <c:overlap val="-27"/>
        <c:axId val="682179936"/>
        <c:axId val="427318704"/>
      </c:barChart>
      <c:catAx>
        <c:axId val="68217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18704"/>
        <c:crosses val="autoZero"/>
        <c:auto val="1"/>
        <c:lblAlgn val="ctr"/>
        <c:lblOffset val="100"/>
        <c:noMultiLvlLbl val="0"/>
      </c:catAx>
      <c:valAx>
        <c:axId val="42731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1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Tables!$A$15</c:f>
              <c:strCache>
                <c:ptCount val="1"/>
                <c:pt idx="0">
                  <c:v>Total</c:v>
                </c:pt>
              </c:strCache>
            </c:strRef>
          </c:tx>
          <c:spPr>
            <a:solidFill>
              <a:schemeClr val="accent1"/>
            </a:solidFill>
            <a:ln>
              <a:noFill/>
            </a:ln>
            <a:effectLst/>
          </c:spPr>
          <c:invertIfNegative val="0"/>
          <c:cat>
            <c:strRef>
              <c:f>Tables!$A$16</c:f>
              <c:strCache>
                <c:ptCount val="1"/>
                <c:pt idx="0">
                  <c:v>Total</c:v>
                </c:pt>
              </c:strCache>
            </c:strRef>
          </c:cat>
          <c:val>
            <c:numRef>
              <c:f>Tables!$A$16</c:f>
              <c:numCache>
                <c:formatCode>#,##0</c:formatCode>
                <c:ptCount val="1"/>
                <c:pt idx="0">
                  <c:v>448732</c:v>
                </c:pt>
              </c:numCache>
            </c:numRef>
          </c:val>
          <c:extLst>
            <c:ext xmlns:c16="http://schemas.microsoft.com/office/drawing/2014/chart" uri="{C3380CC4-5D6E-409C-BE32-E72D297353CC}">
              <c16:uniqueId val="{00000000-7451-4990-B3DC-9A67771B6523}"/>
            </c:ext>
          </c:extLst>
        </c:ser>
        <c:dLbls>
          <c:showLegendKey val="0"/>
          <c:showVal val="0"/>
          <c:showCatName val="0"/>
          <c:showSerName val="0"/>
          <c:showPercent val="0"/>
          <c:showBubbleSize val="0"/>
        </c:dLbls>
        <c:gapWidth val="219"/>
        <c:overlap val="-27"/>
        <c:axId val="562936624"/>
        <c:axId val="427317744"/>
      </c:barChart>
      <c:catAx>
        <c:axId val="5629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17744"/>
        <c:crosses val="autoZero"/>
        <c:auto val="1"/>
        <c:lblAlgn val="ctr"/>
        <c:lblOffset val="100"/>
        <c:noMultiLvlLbl val="0"/>
      </c:catAx>
      <c:valAx>
        <c:axId val="427317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Tables!$A$26</c:f>
              <c:strCache>
                <c:ptCount val="1"/>
                <c:pt idx="0">
                  <c:v>Total</c:v>
                </c:pt>
              </c:strCache>
            </c:strRef>
          </c:tx>
          <c:spPr>
            <a:solidFill>
              <a:schemeClr val="accent1"/>
            </a:solidFill>
            <a:ln>
              <a:noFill/>
            </a:ln>
            <a:effectLst/>
          </c:spPr>
          <c:invertIfNegative val="0"/>
          <c:cat>
            <c:strRef>
              <c:f>Tables!$A$27</c:f>
              <c:strCache>
                <c:ptCount val="1"/>
                <c:pt idx="0">
                  <c:v>Total</c:v>
                </c:pt>
              </c:strCache>
            </c:strRef>
          </c:cat>
          <c:val>
            <c:numRef>
              <c:f>Tables!$A$27</c:f>
              <c:numCache>
                <c:formatCode>#,##0</c:formatCode>
                <c:ptCount val="1"/>
                <c:pt idx="0">
                  <c:v>463456</c:v>
                </c:pt>
              </c:numCache>
            </c:numRef>
          </c:val>
          <c:extLst>
            <c:ext xmlns:c16="http://schemas.microsoft.com/office/drawing/2014/chart" uri="{C3380CC4-5D6E-409C-BE32-E72D297353CC}">
              <c16:uniqueId val="{00000000-8B9F-40BA-B2E5-0645E1142CC8}"/>
            </c:ext>
          </c:extLst>
        </c:ser>
        <c:dLbls>
          <c:showLegendKey val="0"/>
          <c:showVal val="0"/>
          <c:showCatName val="0"/>
          <c:showSerName val="0"/>
          <c:showPercent val="0"/>
          <c:showBubbleSize val="0"/>
        </c:dLbls>
        <c:gapWidth val="219"/>
        <c:overlap val="-27"/>
        <c:axId val="645132624"/>
        <c:axId val="427327344"/>
      </c:barChart>
      <c:catAx>
        <c:axId val="6451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27344"/>
        <c:crosses val="autoZero"/>
        <c:auto val="1"/>
        <c:lblAlgn val="ctr"/>
        <c:lblOffset val="100"/>
        <c:noMultiLvlLbl val="0"/>
      </c:catAx>
      <c:valAx>
        <c:axId val="427327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3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Years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Tables!$H$4:$H$8</c:f>
              <c:strCache>
                <c:ptCount val="4"/>
                <c:pt idx="0">
                  <c:v>2021</c:v>
                </c:pt>
                <c:pt idx="1">
                  <c:v>2022</c:v>
                </c:pt>
                <c:pt idx="2">
                  <c:v>2023</c:v>
                </c:pt>
                <c:pt idx="3">
                  <c:v>2024</c:v>
                </c:pt>
              </c:strCache>
            </c:strRef>
          </c:cat>
          <c:val>
            <c:numRef>
              <c:f>Tables!$I$4:$I$8</c:f>
              <c:numCache>
                <c:formatCode>#,##0</c:formatCode>
                <c:ptCount val="4"/>
                <c:pt idx="0">
                  <c:v>96776538.179199994</c:v>
                </c:pt>
                <c:pt idx="1">
                  <c:v>108753358.56</c:v>
                </c:pt>
                <c:pt idx="2">
                  <c:v>111014327.55839995</c:v>
                </c:pt>
                <c:pt idx="3">
                  <c:v>160340001.67987177</c:v>
                </c:pt>
              </c:numCache>
            </c:numRef>
          </c:val>
          <c:extLst>
            <c:ext xmlns:c16="http://schemas.microsoft.com/office/drawing/2014/chart" uri="{C3380CC4-5D6E-409C-BE32-E72D297353CC}">
              <c16:uniqueId val="{00000000-EFB7-4FCE-B456-877FA092FD2B}"/>
            </c:ext>
          </c:extLst>
        </c:ser>
        <c:dLbls>
          <c:dLblPos val="inEnd"/>
          <c:showLegendKey val="0"/>
          <c:showVal val="1"/>
          <c:showCatName val="0"/>
          <c:showSerName val="0"/>
          <c:showPercent val="0"/>
          <c:showBubbleSize val="0"/>
        </c:dLbls>
        <c:gapWidth val="100"/>
        <c:overlap val="-24"/>
        <c:axId val="682175296"/>
        <c:axId val="420234736"/>
      </c:barChart>
      <c:catAx>
        <c:axId val="682175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234736"/>
        <c:crosses val="autoZero"/>
        <c:auto val="1"/>
        <c:lblAlgn val="ctr"/>
        <c:lblOffset val="100"/>
        <c:noMultiLvlLbl val="0"/>
      </c:catAx>
      <c:valAx>
        <c:axId val="42023473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217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Tables!$I$11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Tables!$H$12:$H$21</c:f>
              <c:strCache>
                <c:ptCount val="9"/>
                <c:pt idx="0">
                  <c:v>Product N9</c:v>
                </c:pt>
                <c:pt idx="1">
                  <c:v>Product N8</c:v>
                </c:pt>
                <c:pt idx="2">
                  <c:v>Product N7</c:v>
                </c:pt>
                <c:pt idx="3">
                  <c:v>Product N6</c:v>
                </c:pt>
                <c:pt idx="4">
                  <c:v>Product N5</c:v>
                </c:pt>
                <c:pt idx="5">
                  <c:v>Product N4</c:v>
                </c:pt>
                <c:pt idx="6">
                  <c:v>Product N3</c:v>
                </c:pt>
                <c:pt idx="7">
                  <c:v>Product N2</c:v>
                </c:pt>
                <c:pt idx="8">
                  <c:v>Product N1</c:v>
                </c:pt>
              </c:strCache>
            </c:strRef>
          </c:cat>
          <c:val>
            <c:numRef>
              <c:f>Tables!$I$12:$I$21</c:f>
              <c:numCache>
                <c:formatCode>#,##0</c:formatCode>
                <c:ptCount val="9"/>
                <c:pt idx="0">
                  <c:v>47264208.862143964</c:v>
                </c:pt>
                <c:pt idx="1">
                  <c:v>38777680.029376</c:v>
                </c:pt>
                <c:pt idx="2">
                  <c:v>55340609.207808003</c:v>
                </c:pt>
                <c:pt idx="3">
                  <c:v>54140440.293567978</c:v>
                </c:pt>
                <c:pt idx="4">
                  <c:v>71503450.668992013</c:v>
                </c:pt>
                <c:pt idx="5">
                  <c:v>69405218.359999999</c:v>
                </c:pt>
                <c:pt idx="6">
                  <c:v>38584046.809023999</c:v>
                </c:pt>
                <c:pt idx="7">
                  <c:v>68979430.933247998</c:v>
                </c:pt>
                <c:pt idx="8">
                  <c:v>32889140.813312039</c:v>
                </c:pt>
              </c:numCache>
            </c:numRef>
          </c:val>
          <c:extLst>
            <c:ext xmlns:c16="http://schemas.microsoft.com/office/drawing/2014/chart" uri="{C3380CC4-5D6E-409C-BE32-E72D297353CC}">
              <c16:uniqueId val="{00000000-0952-4F02-A781-1368597C39D7}"/>
            </c:ext>
          </c:extLst>
        </c:ser>
        <c:dLbls>
          <c:dLblPos val="inEnd"/>
          <c:showLegendKey val="0"/>
          <c:showVal val="1"/>
          <c:showCatName val="0"/>
          <c:showSerName val="0"/>
          <c:showPercent val="0"/>
          <c:showBubbleSize val="0"/>
        </c:dLbls>
        <c:gapWidth val="65"/>
        <c:axId val="651992576"/>
        <c:axId val="420263056"/>
      </c:barChart>
      <c:catAx>
        <c:axId val="6519925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0263056"/>
        <c:crosses val="autoZero"/>
        <c:auto val="1"/>
        <c:lblAlgn val="ctr"/>
        <c:lblOffset val="100"/>
        <c:noMultiLvlLbl val="0"/>
      </c:catAx>
      <c:valAx>
        <c:axId val="4202630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19925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SalesPerson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Tables!$I$24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Tables!$H$25:$H$35</c:f>
              <c:strCache>
                <c:ptCount val="10"/>
                <c:pt idx="0">
                  <c:v>Salesperson 9</c:v>
                </c:pt>
                <c:pt idx="1">
                  <c:v>Salesperson 8</c:v>
                </c:pt>
                <c:pt idx="2">
                  <c:v>Salesperson 7</c:v>
                </c:pt>
                <c:pt idx="3">
                  <c:v>Salesperson 6</c:v>
                </c:pt>
                <c:pt idx="4">
                  <c:v>Salesperson 5</c:v>
                </c:pt>
                <c:pt idx="5">
                  <c:v>Salesperson 4</c:v>
                </c:pt>
                <c:pt idx="6">
                  <c:v>Salesperson 3</c:v>
                </c:pt>
                <c:pt idx="7">
                  <c:v>Salesperson 2</c:v>
                </c:pt>
                <c:pt idx="8">
                  <c:v>Salesperson 10</c:v>
                </c:pt>
                <c:pt idx="9">
                  <c:v>Salesperson 1</c:v>
                </c:pt>
              </c:strCache>
            </c:strRef>
          </c:cat>
          <c:val>
            <c:numRef>
              <c:f>Tables!$I$25:$I$35</c:f>
              <c:numCache>
                <c:formatCode>#,##0</c:formatCode>
                <c:ptCount val="10"/>
                <c:pt idx="0">
                  <c:v>27231292.423168004</c:v>
                </c:pt>
                <c:pt idx="1">
                  <c:v>72576812.604863971</c:v>
                </c:pt>
                <c:pt idx="2">
                  <c:v>38967818.394175984</c:v>
                </c:pt>
                <c:pt idx="3">
                  <c:v>57629535.463295981</c:v>
                </c:pt>
                <c:pt idx="4">
                  <c:v>29276846.823679999</c:v>
                </c:pt>
                <c:pt idx="5">
                  <c:v>73995247.361151993</c:v>
                </c:pt>
                <c:pt idx="6">
                  <c:v>37042038.400256008</c:v>
                </c:pt>
                <c:pt idx="7">
                  <c:v>64865930.992895998</c:v>
                </c:pt>
                <c:pt idx="8">
                  <c:v>37581014.665215984</c:v>
                </c:pt>
                <c:pt idx="9">
                  <c:v>37717688.848767996</c:v>
                </c:pt>
              </c:numCache>
            </c:numRef>
          </c:val>
          <c:extLst>
            <c:ext xmlns:c16="http://schemas.microsoft.com/office/drawing/2014/chart" uri="{C3380CC4-5D6E-409C-BE32-E72D297353CC}">
              <c16:uniqueId val="{00000000-2490-4E38-8794-024A04BFC3EC}"/>
            </c:ext>
          </c:extLst>
        </c:ser>
        <c:dLbls>
          <c:dLblPos val="outEnd"/>
          <c:showLegendKey val="0"/>
          <c:showVal val="1"/>
          <c:showCatName val="0"/>
          <c:showSerName val="0"/>
          <c:showPercent val="0"/>
          <c:showBubbleSize val="0"/>
        </c:dLbls>
        <c:gapWidth val="100"/>
        <c:overlap val="-24"/>
        <c:axId val="651979120"/>
        <c:axId val="420280816"/>
      </c:barChart>
      <c:catAx>
        <c:axId val="651979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280816"/>
        <c:crosses val="autoZero"/>
        <c:auto val="1"/>
        <c:lblAlgn val="ctr"/>
        <c:lblOffset val="100"/>
        <c:noMultiLvlLbl val="0"/>
      </c:catAx>
      <c:valAx>
        <c:axId val="42028081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97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 vs Offers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Tables!$L$3</c:f>
              <c:strCache>
                <c:ptCount val="1"/>
                <c:pt idx="0">
                  <c:v>Sum of Orders</c:v>
                </c:pt>
              </c:strCache>
            </c:strRef>
          </c:tx>
          <c:spPr>
            <a:solidFill>
              <a:schemeClr val="accent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Tables!$K$4:$K$8</c:f>
              <c:strCache>
                <c:ptCount val="4"/>
                <c:pt idx="0">
                  <c:v>2021</c:v>
                </c:pt>
                <c:pt idx="1">
                  <c:v>2022</c:v>
                </c:pt>
                <c:pt idx="2">
                  <c:v>2023</c:v>
                </c:pt>
                <c:pt idx="3">
                  <c:v>2024</c:v>
                </c:pt>
              </c:strCache>
            </c:strRef>
          </c:cat>
          <c:val>
            <c:numRef>
              <c:f>Tables!$L$4:$L$8</c:f>
              <c:numCache>
                <c:formatCode>#,##0</c:formatCode>
                <c:ptCount val="4"/>
                <c:pt idx="0">
                  <c:v>108094</c:v>
                </c:pt>
                <c:pt idx="1">
                  <c:v>112704</c:v>
                </c:pt>
                <c:pt idx="2">
                  <c:v>112445</c:v>
                </c:pt>
                <c:pt idx="3">
                  <c:v>115489</c:v>
                </c:pt>
              </c:numCache>
            </c:numRef>
          </c:val>
          <c:extLst>
            <c:ext xmlns:c16="http://schemas.microsoft.com/office/drawing/2014/chart" uri="{C3380CC4-5D6E-409C-BE32-E72D297353CC}">
              <c16:uniqueId val="{00000000-C810-4FD7-9BFA-EE0C02F8D78F}"/>
            </c:ext>
          </c:extLst>
        </c:ser>
        <c:ser>
          <c:idx val="1"/>
          <c:order val="1"/>
          <c:tx>
            <c:strRef>
              <c:f>Tables!$M$3</c:f>
              <c:strCache>
                <c:ptCount val="1"/>
                <c:pt idx="0">
                  <c:v>Sum of Offers</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Tables!$K$4:$K$8</c:f>
              <c:strCache>
                <c:ptCount val="4"/>
                <c:pt idx="0">
                  <c:v>2021</c:v>
                </c:pt>
                <c:pt idx="1">
                  <c:v>2022</c:v>
                </c:pt>
                <c:pt idx="2">
                  <c:v>2023</c:v>
                </c:pt>
                <c:pt idx="3">
                  <c:v>2024</c:v>
                </c:pt>
              </c:strCache>
            </c:strRef>
          </c:cat>
          <c:val>
            <c:numRef>
              <c:f>Tables!$M$4:$M$8</c:f>
              <c:numCache>
                <c:formatCode>#,##0</c:formatCode>
                <c:ptCount val="4"/>
                <c:pt idx="0">
                  <c:v>108120</c:v>
                </c:pt>
                <c:pt idx="1">
                  <c:v>118923</c:v>
                </c:pt>
                <c:pt idx="2">
                  <c:v>117691</c:v>
                </c:pt>
                <c:pt idx="3">
                  <c:v>118722</c:v>
                </c:pt>
              </c:numCache>
            </c:numRef>
          </c:val>
          <c:extLst>
            <c:ext xmlns:c16="http://schemas.microsoft.com/office/drawing/2014/chart" uri="{C3380CC4-5D6E-409C-BE32-E72D297353CC}">
              <c16:uniqueId val="{00000001-C810-4FD7-9BFA-EE0C02F8D78F}"/>
            </c:ext>
          </c:extLst>
        </c:ser>
        <c:dLbls>
          <c:dLblPos val="inEnd"/>
          <c:showLegendKey val="0"/>
          <c:showVal val="1"/>
          <c:showCatName val="0"/>
          <c:showSerName val="0"/>
          <c:showPercent val="0"/>
          <c:showBubbleSize val="0"/>
        </c:dLbls>
        <c:gapWidth val="65"/>
        <c:axId val="676015360"/>
        <c:axId val="198620016"/>
      </c:barChart>
      <c:catAx>
        <c:axId val="676015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620016"/>
        <c:crosses val="autoZero"/>
        <c:auto val="1"/>
        <c:lblAlgn val="ctr"/>
        <c:lblOffset val="100"/>
        <c:noMultiLvlLbl val="0"/>
      </c:catAx>
      <c:valAx>
        <c:axId val="1986200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760153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Tables!$L$11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89-4C80-8FD6-4E27591676F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89-4C80-8FD6-4E27591676F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689-4C80-8FD6-4E27591676F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689-4C80-8FD6-4E27591676F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689-4C80-8FD6-4E27591676F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689-4C80-8FD6-4E27591676F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689-4C80-8FD6-4E27591676F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689-4C80-8FD6-4E27591676FA}"/>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689-4C80-8FD6-4E27591676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Tables!$K$12:$K$21</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Tables!$L$12:$L$21</c:f>
              <c:numCache>
                <c:formatCode>#,##0</c:formatCode>
                <c:ptCount val="9"/>
                <c:pt idx="0">
                  <c:v>32889140.813312039</c:v>
                </c:pt>
                <c:pt idx="1">
                  <c:v>68979430.933247998</c:v>
                </c:pt>
                <c:pt idx="2">
                  <c:v>38584046.809023999</c:v>
                </c:pt>
                <c:pt idx="3">
                  <c:v>69405218.359999999</c:v>
                </c:pt>
                <c:pt idx="4">
                  <c:v>71503450.668992013</c:v>
                </c:pt>
                <c:pt idx="5">
                  <c:v>54140440.293567978</c:v>
                </c:pt>
                <c:pt idx="6">
                  <c:v>55340609.207808003</c:v>
                </c:pt>
                <c:pt idx="7">
                  <c:v>38777680.029376</c:v>
                </c:pt>
                <c:pt idx="8">
                  <c:v>47264208.862143964</c:v>
                </c:pt>
              </c:numCache>
            </c:numRef>
          </c:val>
          <c:extLst>
            <c:ext xmlns:c16="http://schemas.microsoft.com/office/drawing/2014/chart" uri="{C3380CC4-5D6E-409C-BE32-E72D297353CC}">
              <c16:uniqueId val="{00000012-E689-4C80-8FD6-4E27591676F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Dashboard.xlsx]Tables!PivotTable12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Tables!$P$3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Tables!$O$4:$O$14</c:f>
              <c:strCache>
                <c:ptCount val="10"/>
                <c:pt idx="0">
                  <c:v>Customer Name 100</c:v>
                </c:pt>
                <c:pt idx="1">
                  <c:v>Customer Name 115</c:v>
                </c:pt>
                <c:pt idx="2">
                  <c:v>Customer Name 131</c:v>
                </c:pt>
                <c:pt idx="3">
                  <c:v>Customer Name 147</c:v>
                </c:pt>
                <c:pt idx="4">
                  <c:v>Customer Name 150</c:v>
                </c:pt>
                <c:pt idx="5">
                  <c:v>Customer Name 154</c:v>
                </c:pt>
                <c:pt idx="6">
                  <c:v>Customer Name 24</c:v>
                </c:pt>
                <c:pt idx="7">
                  <c:v>Customer Name 72</c:v>
                </c:pt>
                <c:pt idx="8">
                  <c:v>Customer Name 86</c:v>
                </c:pt>
                <c:pt idx="9">
                  <c:v>Customer Name 97</c:v>
                </c:pt>
              </c:strCache>
            </c:strRef>
          </c:cat>
          <c:val>
            <c:numRef>
              <c:f>Tables!$P$4:$P$14</c:f>
              <c:numCache>
                <c:formatCode>#,##0</c:formatCode>
                <c:ptCount val="10"/>
                <c:pt idx="0">
                  <c:v>5594929.8531840006</c:v>
                </c:pt>
                <c:pt idx="1">
                  <c:v>5697306.1393920006</c:v>
                </c:pt>
                <c:pt idx="2">
                  <c:v>5212820.4817919992</c:v>
                </c:pt>
                <c:pt idx="3">
                  <c:v>5273464.390656</c:v>
                </c:pt>
                <c:pt idx="4">
                  <c:v>10803857.069824001</c:v>
                </c:pt>
                <c:pt idx="5">
                  <c:v>5996733.1007359996</c:v>
                </c:pt>
                <c:pt idx="6">
                  <c:v>5984702.2413439993</c:v>
                </c:pt>
                <c:pt idx="7">
                  <c:v>5991924.2181119993</c:v>
                </c:pt>
                <c:pt idx="8">
                  <c:v>5666278.0195839992</c:v>
                </c:pt>
                <c:pt idx="9">
                  <c:v>6195274.323392</c:v>
                </c:pt>
              </c:numCache>
            </c:numRef>
          </c:val>
          <c:extLst>
            <c:ext xmlns:c16="http://schemas.microsoft.com/office/drawing/2014/chart" uri="{C3380CC4-5D6E-409C-BE32-E72D297353CC}">
              <c16:uniqueId val="{00000000-C4E0-4FD1-8F5E-7272E13AD2BD}"/>
            </c:ext>
          </c:extLst>
        </c:ser>
        <c:dLbls>
          <c:dLblPos val="outEnd"/>
          <c:showLegendKey val="0"/>
          <c:showVal val="1"/>
          <c:showCatName val="0"/>
          <c:showSerName val="0"/>
          <c:showPercent val="0"/>
          <c:showBubbleSize val="0"/>
        </c:dLbls>
        <c:gapWidth val="115"/>
        <c:overlap val="-20"/>
        <c:axId val="1042098960"/>
        <c:axId val="947510832"/>
      </c:barChart>
      <c:catAx>
        <c:axId val="10420989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7510832"/>
        <c:crosses val="autoZero"/>
        <c:auto val="1"/>
        <c:lblAlgn val="ctr"/>
        <c:lblOffset val="100"/>
        <c:noMultiLvlLbl val="0"/>
      </c:catAx>
      <c:valAx>
        <c:axId val="94751083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09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Tables2!$A$3</c:f>
              <c:strCache>
                <c:ptCount val="1"/>
                <c:pt idx="0">
                  <c:v>Total</c:v>
                </c:pt>
              </c:strCache>
            </c:strRef>
          </c:tx>
          <c:spPr>
            <a:solidFill>
              <a:schemeClr val="accent1"/>
            </a:solidFill>
            <a:ln>
              <a:noFill/>
            </a:ln>
            <a:effectLst/>
          </c:spPr>
          <c:invertIfNegative val="0"/>
          <c:cat>
            <c:strRef>
              <c:f>Tables2!$A$4</c:f>
              <c:strCache>
                <c:ptCount val="1"/>
                <c:pt idx="0">
                  <c:v>Total</c:v>
                </c:pt>
              </c:strCache>
            </c:strRef>
          </c:cat>
          <c:val>
            <c:numRef>
              <c:f>Tables2!$A$4</c:f>
              <c:numCache>
                <c:formatCode>"$"#,##0.00</c:formatCode>
                <c:ptCount val="1"/>
                <c:pt idx="0">
                  <c:v>476884225.97747302</c:v>
                </c:pt>
              </c:numCache>
            </c:numRef>
          </c:val>
          <c:extLst>
            <c:ext xmlns:c16="http://schemas.microsoft.com/office/drawing/2014/chart" uri="{C3380CC4-5D6E-409C-BE32-E72D297353CC}">
              <c16:uniqueId val="{00000000-415C-4ED1-B415-0F5FFB899C99}"/>
            </c:ext>
          </c:extLst>
        </c:ser>
        <c:dLbls>
          <c:showLegendKey val="0"/>
          <c:showVal val="0"/>
          <c:showCatName val="0"/>
          <c:showSerName val="0"/>
          <c:showPercent val="0"/>
          <c:showBubbleSize val="0"/>
        </c:dLbls>
        <c:gapWidth val="219"/>
        <c:overlap val="-27"/>
        <c:axId val="231658656"/>
        <c:axId val="2090881327"/>
      </c:barChart>
      <c:catAx>
        <c:axId val="23165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881327"/>
        <c:crosses val="autoZero"/>
        <c:auto val="1"/>
        <c:lblAlgn val="ctr"/>
        <c:lblOffset val="100"/>
        <c:noMultiLvlLbl val="0"/>
      </c:catAx>
      <c:valAx>
        <c:axId val="2090881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65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Tables!$A$15</c:f>
              <c:strCache>
                <c:ptCount val="1"/>
                <c:pt idx="0">
                  <c:v>Total</c:v>
                </c:pt>
              </c:strCache>
            </c:strRef>
          </c:tx>
          <c:spPr>
            <a:solidFill>
              <a:schemeClr val="accent1"/>
            </a:solidFill>
            <a:ln>
              <a:noFill/>
            </a:ln>
            <a:effectLst/>
          </c:spPr>
          <c:invertIfNegative val="0"/>
          <c:cat>
            <c:strRef>
              <c:f>Tables!$A$16</c:f>
              <c:strCache>
                <c:ptCount val="1"/>
                <c:pt idx="0">
                  <c:v>Total</c:v>
                </c:pt>
              </c:strCache>
            </c:strRef>
          </c:cat>
          <c:val>
            <c:numRef>
              <c:f>Tables!$A$16</c:f>
              <c:numCache>
                <c:formatCode>#,##0</c:formatCode>
                <c:ptCount val="1"/>
                <c:pt idx="0">
                  <c:v>448732</c:v>
                </c:pt>
              </c:numCache>
            </c:numRef>
          </c:val>
          <c:extLst>
            <c:ext xmlns:c16="http://schemas.microsoft.com/office/drawing/2014/chart" uri="{C3380CC4-5D6E-409C-BE32-E72D297353CC}">
              <c16:uniqueId val="{00000000-FB3F-4EA3-9044-8A589C8A1B4D}"/>
            </c:ext>
          </c:extLst>
        </c:ser>
        <c:dLbls>
          <c:showLegendKey val="0"/>
          <c:showVal val="0"/>
          <c:showCatName val="0"/>
          <c:showSerName val="0"/>
          <c:showPercent val="0"/>
          <c:showBubbleSize val="0"/>
        </c:dLbls>
        <c:gapWidth val="219"/>
        <c:overlap val="-27"/>
        <c:axId val="562936624"/>
        <c:axId val="427317744"/>
      </c:barChart>
      <c:catAx>
        <c:axId val="5629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17744"/>
        <c:crosses val="autoZero"/>
        <c:auto val="1"/>
        <c:lblAlgn val="ctr"/>
        <c:lblOffset val="100"/>
        <c:noMultiLvlLbl val="0"/>
      </c:catAx>
      <c:valAx>
        <c:axId val="427317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Tables!$A$26</c:f>
              <c:strCache>
                <c:ptCount val="1"/>
                <c:pt idx="0">
                  <c:v>Total</c:v>
                </c:pt>
              </c:strCache>
            </c:strRef>
          </c:tx>
          <c:spPr>
            <a:solidFill>
              <a:schemeClr val="accent1"/>
            </a:solidFill>
            <a:ln>
              <a:noFill/>
            </a:ln>
            <a:effectLst/>
          </c:spPr>
          <c:invertIfNegative val="0"/>
          <c:cat>
            <c:strRef>
              <c:f>Tables!$A$27</c:f>
              <c:strCache>
                <c:ptCount val="1"/>
                <c:pt idx="0">
                  <c:v>Total</c:v>
                </c:pt>
              </c:strCache>
            </c:strRef>
          </c:cat>
          <c:val>
            <c:numRef>
              <c:f>Tables!$A$27</c:f>
              <c:numCache>
                <c:formatCode>#,##0</c:formatCode>
                <c:ptCount val="1"/>
                <c:pt idx="0">
                  <c:v>463456</c:v>
                </c:pt>
              </c:numCache>
            </c:numRef>
          </c:val>
          <c:extLst>
            <c:ext xmlns:c16="http://schemas.microsoft.com/office/drawing/2014/chart" uri="{C3380CC4-5D6E-409C-BE32-E72D297353CC}">
              <c16:uniqueId val="{00000000-A5EC-4F89-9832-A4DD54E0CEF2}"/>
            </c:ext>
          </c:extLst>
        </c:ser>
        <c:dLbls>
          <c:showLegendKey val="0"/>
          <c:showVal val="0"/>
          <c:showCatName val="0"/>
          <c:showSerName val="0"/>
          <c:showPercent val="0"/>
          <c:showBubbleSize val="0"/>
        </c:dLbls>
        <c:gapWidth val="219"/>
        <c:overlap val="-27"/>
        <c:axId val="645132624"/>
        <c:axId val="427327344"/>
      </c:barChart>
      <c:catAx>
        <c:axId val="6451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27344"/>
        <c:crosses val="autoZero"/>
        <c:auto val="1"/>
        <c:lblAlgn val="ctr"/>
        <c:lblOffset val="100"/>
        <c:noMultiLvlLbl val="0"/>
      </c:catAx>
      <c:valAx>
        <c:axId val="427327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3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Tables2!$A$38</c:f>
              <c:strCache>
                <c:ptCount val="1"/>
                <c:pt idx="0">
                  <c:v>Total</c:v>
                </c:pt>
              </c:strCache>
            </c:strRef>
          </c:tx>
          <c:spPr>
            <a:solidFill>
              <a:schemeClr val="accent1"/>
            </a:solidFill>
            <a:ln>
              <a:noFill/>
            </a:ln>
            <a:effectLst/>
          </c:spPr>
          <c:invertIfNegative val="0"/>
          <c:cat>
            <c:strRef>
              <c:f>Tables2!$A$39</c:f>
              <c:strCache>
                <c:ptCount val="1"/>
                <c:pt idx="0">
                  <c:v>Total</c:v>
                </c:pt>
              </c:strCache>
            </c:strRef>
          </c:cat>
          <c:val>
            <c:numRef>
              <c:f>Tables2!$A$39</c:f>
              <c:numCache>
                <c:formatCode>General</c:formatCode>
                <c:ptCount val="1"/>
                <c:pt idx="0">
                  <c:v>804</c:v>
                </c:pt>
              </c:numCache>
            </c:numRef>
          </c:val>
          <c:extLst>
            <c:ext xmlns:c16="http://schemas.microsoft.com/office/drawing/2014/chart" uri="{C3380CC4-5D6E-409C-BE32-E72D297353CC}">
              <c16:uniqueId val="{00000000-4137-4C62-9E69-CB1D3B6FFBA4}"/>
            </c:ext>
          </c:extLst>
        </c:ser>
        <c:dLbls>
          <c:showLegendKey val="0"/>
          <c:showVal val="0"/>
          <c:showCatName val="0"/>
          <c:showSerName val="0"/>
          <c:showPercent val="0"/>
          <c:showBubbleSize val="0"/>
        </c:dLbls>
        <c:gapWidth val="219"/>
        <c:overlap val="-27"/>
        <c:axId val="231651696"/>
        <c:axId val="2087996559"/>
      </c:barChart>
      <c:catAx>
        <c:axId val="23165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996559"/>
        <c:crosses val="autoZero"/>
        <c:auto val="1"/>
        <c:lblAlgn val="ctr"/>
        <c:lblOffset val="100"/>
        <c:noMultiLvlLbl val="0"/>
      </c:catAx>
      <c:valAx>
        <c:axId val="2087996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65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Dashboard.xlsx]Tables2!PivotTable15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Tables2!$A$58</c:f>
              <c:strCache>
                <c:ptCount val="1"/>
                <c:pt idx="0">
                  <c:v>Total</c:v>
                </c:pt>
              </c:strCache>
            </c:strRef>
          </c:tx>
          <c:spPr>
            <a:solidFill>
              <a:schemeClr val="accent1"/>
            </a:solidFill>
            <a:ln>
              <a:noFill/>
            </a:ln>
            <a:effectLst/>
          </c:spPr>
          <c:invertIfNegative val="0"/>
          <c:cat>
            <c:strRef>
              <c:f>Tables2!$A$59</c:f>
              <c:strCache>
                <c:ptCount val="1"/>
                <c:pt idx="0">
                  <c:v>Total</c:v>
                </c:pt>
              </c:strCache>
            </c:strRef>
          </c:cat>
          <c:val>
            <c:numRef>
              <c:f>Tables2!$A$59</c:f>
              <c:numCache>
                <c:formatCode>General</c:formatCode>
                <c:ptCount val="1"/>
                <c:pt idx="0">
                  <c:v>806748</c:v>
                </c:pt>
              </c:numCache>
            </c:numRef>
          </c:val>
          <c:extLst>
            <c:ext xmlns:c16="http://schemas.microsoft.com/office/drawing/2014/chart" uri="{C3380CC4-5D6E-409C-BE32-E72D297353CC}">
              <c16:uniqueId val="{00000000-CE08-43D9-8AC8-E8861F030E9D}"/>
            </c:ext>
          </c:extLst>
        </c:ser>
        <c:dLbls>
          <c:showLegendKey val="0"/>
          <c:showVal val="0"/>
          <c:showCatName val="0"/>
          <c:showSerName val="0"/>
          <c:showPercent val="0"/>
          <c:showBubbleSize val="0"/>
        </c:dLbls>
        <c:gapWidth val="219"/>
        <c:overlap val="-27"/>
        <c:axId val="312369456"/>
        <c:axId val="80153616"/>
      </c:barChart>
      <c:catAx>
        <c:axId val="31236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3616"/>
        <c:crosses val="autoZero"/>
        <c:auto val="1"/>
        <c:lblAlgn val="ctr"/>
        <c:lblOffset val="100"/>
        <c:noMultiLvlLbl val="0"/>
      </c:catAx>
      <c:valAx>
        <c:axId val="8015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36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Dashboard.xlsx]Tables2!PivotTable16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Tables2!$A$70</c:f>
              <c:strCache>
                <c:ptCount val="1"/>
                <c:pt idx="0">
                  <c:v>Total</c:v>
                </c:pt>
              </c:strCache>
            </c:strRef>
          </c:tx>
          <c:spPr>
            <a:solidFill>
              <a:schemeClr val="accent1"/>
            </a:solidFill>
            <a:ln>
              <a:noFill/>
            </a:ln>
            <a:effectLst/>
          </c:spPr>
          <c:invertIfNegative val="0"/>
          <c:cat>
            <c:strRef>
              <c:f>Tables2!$A$71</c:f>
              <c:strCache>
                <c:ptCount val="1"/>
                <c:pt idx="0">
                  <c:v>Total</c:v>
                </c:pt>
              </c:strCache>
            </c:strRef>
          </c:cat>
          <c:val>
            <c:numRef>
              <c:f>Tables2!$A$71</c:f>
              <c:numCache>
                <c:formatCode>General</c:formatCode>
                <c:ptCount val="1"/>
                <c:pt idx="0">
                  <c:v>804</c:v>
                </c:pt>
              </c:numCache>
            </c:numRef>
          </c:val>
          <c:extLst>
            <c:ext xmlns:c16="http://schemas.microsoft.com/office/drawing/2014/chart" uri="{C3380CC4-5D6E-409C-BE32-E72D297353CC}">
              <c16:uniqueId val="{00000000-CEBE-492B-81E8-EB6A3522754F}"/>
            </c:ext>
          </c:extLst>
        </c:ser>
        <c:dLbls>
          <c:showLegendKey val="0"/>
          <c:showVal val="0"/>
          <c:showCatName val="0"/>
          <c:showSerName val="0"/>
          <c:showPercent val="0"/>
          <c:showBubbleSize val="0"/>
        </c:dLbls>
        <c:gapWidth val="219"/>
        <c:overlap val="-27"/>
        <c:axId val="963876752"/>
        <c:axId val="886224"/>
      </c:barChart>
      <c:catAx>
        <c:axId val="96387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224"/>
        <c:crosses val="autoZero"/>
        <c:auto val="1"/>
        <c:lblAlgn val="ctr"/>
        <c:lblOffset val="100"/>
        <c:noMultiLvlLbl val="0"/>
      </c:catAx>
      <c:valAx>
        <c:axId val="88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87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Dashboard.xlsx]Tables2!PivotTable6</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Amount By Year</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Tables2!$I$3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Tables2!$H$4:$H$8</c:f>
              <c:strCache>
                <c:ptCount val="4"/>
                <c:pt idx="0">
                  <c:v>2021</c:v>
                </c:pt>
                <c:pt idx="1">
                  <c:v>2022</c:v>
                </c:pt>
                <c:pt idx="2">
                  <c:v>2023</c:v>
                </c:pt>
                <c:pt idx="3">
                  <c:v>2024</c:v>
                </c:pt>
              </c:strCache>
            </c:strRef>
          </c:cat>
          <c:val>
            <c:numRef>
              <c:f>Tables2!$I$4:$I$8</c:f>
              <c:numCache>
                <c:formatCode>#,##0</c:formatCode>
                <c:ptCount val="4"/>
                <c:pt idx="0">
                  <c:v>96776538.179199994</c:v>
                </c:pt>
                <c:pt idx="1">
                  <c:v>108753358.56</c:v>
                </c:pt>
                <c:pt idx="2">
                  <c:v>111014327.55839995</c:v>
                </c:pt>
                <c:pt idx="3">
                  <c:v>160340001.67987177</c:v>
                </c:pt>
              </c:numCache>
            </c:numRef>
          </c:val>
          <c:extLst>
            <c:ext xmlns:c16="http://schemas.microsoft.com/office/drawing/2014/chart" uri="{C3380CC4-5D6E-409C-BE32-E72D297353CC}">
              <c16:uniqueId val="{00000000-37AA-4FAB-8A31-CEFC52EA2801}"/>
            </c:ext>
          </c:extLst>
        </c:ser>
        <c:dLbls>
          <c:dLblPos val="inEnd"/>
          <c:showLegendKey val="0"/>
          <c:showVal val="1"/>
          <c:showCatName val="0"/>
          <c:showSerName val="0"/>
          <c:showPercent val="0"/>
          <c:showBubbleSize val="0"/>
        </c:dLbls>
        <c:gapWidth val="41"/>
        <c:axId val="312361568"/>
        <c:axId val="2090880847"/>
      </c:barChart>
      <c:catAx>
        <c:axId val="31236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90880847"/>
        <c:crosses val="autoZero"/>
        <c:auto val="1"/>
        <c:lblAlgn val="ctr"/>
        <c:lblOffset val="100"/>
        <c:noMultiLvlLbl val="0"/>
      </c:catAx>
      <c:valAx>
        <c:axId val="2090880847"/>
        <c:scaling>
          <c:orientation val="minMax"/>
        </c:scaling>
        <c:delete val="1"/>
        <c:axPos val="l"/>
        <c:numFmt formatCode="#,##0" sourceLinked="1"/>
        <c:majorTickMark val="none"/>
        <c:minorTickMark val="none"/>
        <c:tickLblPos val="nextTo"/>
        <c:crossAx val="31236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Dashboard.xlsx]Tables2!PivotTable9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Amount By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Tables2!$I$24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Tables2!$H$25:$H$36</c:f>
              <c:strCache>
                <c:ptCount val="11"/>
                <c:pt idx="0">
                  <c:v>1,380,749</c:v>
                </c:pt>
                <c:pt idx="1">
                  <c:v>972,776</c:v>
                </c:pt>
                <c:pt idx="2">
                  <c:v>692,508</c:v>
                </c:pt>
                <c:pt idx="3">
                  <c:v>482,447</c:v>
                </c:pt>
                <c:pt idx="4">
                  <c:v>472,994</c:v>
                </c:pt>
                <c:pt idx="5">
                  <c:v>396,397</c:v>
                </c:pt>
                <c:pt idx="6">
                  <c:v>209,059</c:v>
                </c:pt>
                <c:pt idx="7">
                  <c:v>186,455</c:v>
                </c:pt>
                <c:pt idx="8">
                  <c:v>185,507</c:v>
                </c:pt>
                <c:pt idx="9">
                  <c:v>151,026</c:v>
                </c:pt>
                <c:pt idx="10">
                  <c:v>148,081</c:v>
                </c:pt>
              </c:strCache>
            </c:strRef>
          </c:cat>
          <c:val>
            <c:numRef>
              <c:f>Tables2!$I$25:$I$36</c:f>
              <c:numCache>
                <c:formatCode>General</c:formatCode>
                <c:ptCount val="11"/>
                <c:pt idx="0">
                  <c:v>22</c:v>
                </c:pt>
                <c:pt idx="1">
                  <c:v>8</c:v>
                </c:pt>
                <c:pt idx="2">
                  <c:v>9</c:v>
                </c:pt>
                <c:pt idx="3">
                  <c:v>8</c:v>
                </c:pt>
                <c:pt idx="4">
                  <c:v>18</c:v>
                </c:pt>
                <c:pt idx="5">
                  <c:v>9</c:v>
                </c:pt>
                <c:pt idx="6">
                  <c:v>21</c:v>
                </c:pt>
                <c:pt idx="7">
                  <c:v>10</c:v>
                </c:pt>
                <c:pt idx="8">
                  <c:v>13</c:v>
                </c:pt>
                <c:pt idx="9">
                  <c:v>16</c:v>
                </c:pt>
                <c:pt idx="10">
                  <c:v>22</c:v>
                </c:pt>
              </c:numCache>
            </c:numRef>
          </c:val>
          <c:extLst>
            <c:ext xmlns:c16="http://schemas.microsoft.com/office/drawing/2014/chart" uri="{C3380CC4-5D6E-409C-BE32-E72D297353CC}">
              <c16:uniqueId val="{00000000-1EAC-483B-8118-4A40FDBCD217}"/>
            </c:ext>
          </c:extLst>
        </c:ser>
        <c:dLbls>
          <c:dLblPos val="inEnd"/>
          <c:showLegendKey val="0"/>
          <c:showVal val="1"/>
          <c:showCatName val="0"/>
          <c:showSerName val="0"/>
          <c:showPercent val="0"/>
          <c:showBubbleSize val="0"/>
        </c:dLbls>
        <c:gapWidth val="115"/>
        <c:overlap val="-20"/>
        <c:axId val="312376880"/>
        <c:axId val="1857427727"/>
      </c:barChart>
      <c:catAx>
        <c:axId val="312376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7427727"/>
        <c:crosses val="autoZero"/>
        <c:auto val="1"/>
        <c:lblAlgn val="ctr"/>
        <c:lblOffset val="100"/>
        <c:noMultiLvlLbl val="0"/>
      </c:catAx>
      <c:valAx>
        <c:axId val="18574277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37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Dashboard.xlsx]Tables2!PivotTable8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Amount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Tables2!$I$11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ED9-49EF-B3B3-610099B690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ED9-49EF-B3B3-610099B690E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ED9-49EF-B3B3-610099B690E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ED9-49EF-B3B3-610099B690E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ED9-49EF-B3B3-610099B690E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ED9-49EF-B3B3-610099B690E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ED9-49EF-B3B3-610099B690E7}"/>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4ED9-49EF-B3B3-610099B690E7}"/>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4ED9-49EF-B3B3-610099B690E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Tables2!$H$12:$H$21</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Tables2!$I$12:$I$21</c:f>
              <c:numCache>
                <c:formatCode>#,##0</c:formatCode>
                <c:ptCount val="9"/>
                <c:pt idx="0">
                  <c:v>32889140.813312039</c:v>
                </c:pt>
                <c:pt idx="1">
                  <c:v>68979430.933247998</c:v>
                </c:pt>
                <c:pt idx="2">
                  <c:v>38584046.809023999</c:v>
                </c:pt>
                <c:pt idx="3">
                  <c:v>69405218.359999999</c:v>
                </c:pt>
                <c:pt idx="4">
                  <c:v>71503450.668992013</c:v>
                </c:pt>
                <c:pt idx="5">
                  <c:v>54140440.293567978</c:v>
                </c:pt>
                <c:pt idx="6">
                  <c:v>55340609.207808003</c:v>
                </c:pt>
                <c:pt idx="7">
                  <c:v>38777680.029376</c:v>
                </c:pt>
                <c:pt idx="8">
                  <c:v>47264208.862143964</c:v>
                </c:pt>
              </c:numCache>
            </c:numRef>
          </c:val>
          <c:extLst>
            <c:ext xmlns:c16="http://schemas.microsoft.com/office/drawing/2014/chart" uri="{C3380CC4-5D6E-409C-BE32-E72D297353CC}">
              <c16:uniqueId val="{00000012-4ED9-49EF-B3B3-610099B690E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Analytics Dashboard.xlsx]Tables2!PivotTable13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Tables2!$I$39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Tables2!$H$40:$H$52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Tables2!$I$40:$I$52</c:f>
              <c:numCache>
                <c:formatCode>#,##0</c:formatCode>
                <c:ptCount val="12"/>
                <c:pt idx="0">
                  <c:v>38845507.565567985</c:v>
                </c:pt>
                <c:pt idx="1">
                  <c:v>39156117.030207999</c:v>
                </c:pt>
                <c:pt idx="2">
                  <c:v>39569345.516800001</c:v>
                </c:pt>
                <c:pt idx="3">
                  <c:v>39908747.582720004</c:v>
                </c:pt>
                <c:pt idx="4">
                  <c:v>39218756.307519995</c:v>
                </c:pt>
                <c:pt idx="5">
                  <c:v>39533511.508479998</c:v>
                </c:pt>
                <c:pt idx="6">
                  <c:v>39796374.339583993</c:v>
                </c:pt>
                <c:pt idx="7">
                  <c:v>40228363.426688001</c:v>
                </c:pt>
                <c:pt idx="8">
                  <c:v>39582115.525823995</c:v>
                </c:pt>
                <c:pt idx="9">
                  <c:v>39942775.196096011</c:v>
                </c:pt>
                <c:pt idx="10">
                  <c:v>40334830.266751997</c:v>
                </c:pt>
                <c:pt idx="11">
                  <c:v>40767781.711231977</c:v>
                </c:pt>
              </c:numCache>
            </c:numRef>
          </c:val>
          <c:smooth val="0"/>
          <c:extLst>
            <c:ext xmlns:c16="http://schemas.microsoft.com/office/drawing/2014/chart" uri="{C3380CC4-5D6E-409C-BE32-E72D297353CC}">
              <c16:uniqueId val="{00000000-4B69-40F8-9228-FA509E047D8C}"/>
            </c:ext>
          </c:extLst>
        </c:ser>
        <c:dLbls>
          <c:dLblPos val="ctr"/>
          <c:showLegendKey val="0"/>
          <c:showVal val="1"/>
          <c:showCatName val="0"/>
          <c:showSerName val="0"/>
          <c:showPercent val="0"/>
          <c:showBubbleSize val="0"/>
        </c:dLbls>
        <c:marker val="1"/>
        <c:smooth val="0"/>
        <c:axId val="312411216"/>
        <c:axId val="892944"/>
      </c:lineChart>
      <c:catAx>
        <c:axId val="3124112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2944"/>
        <c:crosses val="autoZero"/>
        <c:auto val="1"/>
        <c:lblAlgn val="ctr"/>
        <c:lblOffset val="100"/>
        <c:noMultiLvlLbl val="0"/>
      </c:catAx>
      <c:valAx>
        <c:axId val="8929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241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76202</xdr:colOff>
      <xdr:row>0</xdr:row>
      <xdr:rowOff>175260</xdr:rowOff>
    </xdr:from>
    <xdr:to>
      <xdr:col>6</xdr:col>
      <xdr:colOff>10583</xdr:colOff>
      <xdr:row>10</xdr:row>
      <xdr:rowOff>63500</xdr:rowOff>
    </xdr:to>
    <xdr:graphicFrame macro="">
      <xdr:nvGraphicFramePr>
        <xdr:cNvPr id="3" name="Chart 2">
          <a:extLst>
            <a:ext uri="{FF2B5EF4-FFF2-40B4-BE49-F238E27FC236}">
              <a16:creationId xmlns:a16="http://schemas.microsoft.com/office/drawing/2014/main" id="{92C92A76-BE32-B403-8745-C175600E5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48960</xdr:colOff>
      <xdr:row>13</xdr:row>
      <xdr:rowOff>11430</xdr:rowOff>
    </xdr:from>
    <xdr:to>
      <xdr:col>5</xdr:col>
      <xdr:colOff>600000</xdr:colOff>
      <xdr:row>22</xdr:row>
      <xdr:rowOff>0</xdr:rowOff>
    </xdr:to>
    <xdr:graphicFrame macro="">
      <xdr:nvGraphicFramePr>
        <xdr:cNvPr id="5" name="Chart 4">
          <a:extLst>
            <a:ext uri="{FF2B5EF4-FFF2-40B4-BE49-F238E27FC236}">
              <a16:creationId xmlns:a16="http://schemas.microsoft.com/office/drawing/2014/main" id="{B855534D-D8FE-78C7-CD34-2E213082B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15240</xdr:rowOff>
    </xdr:from>
    <xdr:to>
      <xdr:col>1</xdr:col>
      <xdr:colOff>7620</xdr:colOff>
      <xdr:row>16</xdr:row>
      <xdr:rowOff>15240</xdr:rowOff>
    </xdr:to>
    <xdr:sp macro="" textlink="">
      <xdr:nvSpPr>
        <xdr:cNvPr id="6" name="Rectangle: Rounded Corners 5">
          <a:extLst>
            <a:ext uri="{FF2B5EF4-FFF2-40B4-BE49-F238E27FC236}">
              <a16:creationId xmlns:a16="http://schemas.microsoft.com/office/drawing/2014/main" id="{676AF9C9-8FD1-456B-8BD9-D9236ADA1BD3}"/>
            </a:ext>
          </a:extLst>
        </xdr:cNvPr>
        <xdr:cNvSpPr/>
      </xdr:nvSpPr>
      <xdr:spPr>
        <a:xfrm>
          <a:off x="0" y="3002280"/>
          <a:ext cx="2202180" cy="79248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65071</xdr:colOff>
      <xdr:row>25</xdr:row>
      <xdr:rowOff>1033</xdr:rowOff>
    </xdr:from>
    <xdr:to>
      <xdr:col>5</xdr:col>
      <xdr:colOff>603529</xdr:colOff>
      <xdr:row>32</xdr:row>
      <xdr:rowOff>182380</xdr:rowOff>
    </xdr:to>
    <xdr:graphicFrame macro="">
      <xdr:nvGraphicFramePr>
        <xdr:cNvPr id="7" name="Chart 6">
          <a:extLst>
            <a:ext uri="{FF2B5EF4-FFF2-40B4-BE49-F238E27FC236}">
              <a16:creationId xmlns:a16="http://schemas.microsoft.com/office/drawing/2014/main" id="{0747BB41-7FB6-2184-F651-D6EED38A9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7620</xdr:rowOff>
    </xdr:from>
    <xdr:to>
      <xdr:col>1</xdr:col>
      <xdr:colOff>0</xdr:colOff>
      <xdr:row>27</xdr:row>
      <xdr:rowOff>7620</xdr:rowOff>
    </xdr:to>
    <xdr:sp macro="" textlink="">
      <xdr:nvSpPr>
        <xdr:cNvPr id="8" name="Rectangle: Rounded Corners 7">
          <a:extLst>
            <a:ext uri="{FF2B5EF4-FFF2-40B4-BE49-F238E27FC236}">
              <a16:creationId xmlns:a16="http://schemas.microsoft.com/office/drawing/2014/main" id="{693857BE-7EA8-4E89-9C43-6876E698272A}"/>
            </a:ext>
          </a:extLst>
        </xdr:cNvPr>
        <xdr:cNvSpPr/>
      </xdr:nvSpPr>
      <xdr:spPr>
        <a:xfrm>
          <a:off x="5852160" y="373380"/>
          <a:ext cx="1874520" cy="79248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35</xdr:row>
      <xdr:rowOff>175260</xdr:rowOff>
    </xdr:from>
    <xdr:to>
      <xdr:col>1</xdr:col>
      <xdr:colOff>0</xdr:colOff>
      <xdr:row>37</xdr:row>
      <xdr:rowOff>388620</xdr:rowOff>
    </xdr:to>
    <xdr:sp macro="" textlink="">
      <xdr:nvSpPr>
        <xdr:cNvPr id="9" name="Rectangle: Rounded Corners 8">
          <a:extLst>
            <a:ext uri="{FF2B5EF4-FFF2-40B4-BE49-F238E27FC236}">
              <a16:creationId xmlns:a16="http://schemas.microsoft.com/office/drawing/2014/main" id="{0E56689A-A6B9-49D5-8739-AB5304325702}"/>
            </a:ext>
          </a:extLst>
        </xdr:cNvPr>
        <xdr:cNvSpPr/>
      </xdr:nvSpPr>
      <xdr:spPr>
        <a:xfrm>
          <a:off x="5852160" y="2979420"/>
          <a:ext cx="2087880" cy="79248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2</xdr:row>
      <xdr:rowOff>0</xdr:rowOff>
    </xdr:from>
    <xdr:to>
      <xdr:col>1</xdr:col>
      <xdr:colOff>7620</xdr:colOff>
      <xdr:row>4</xdr:row>
      <xdr:rowOff>0</xdr:rowOff>
    </xdr:to>
    <xdr:sp macro="" textlink="">
      <xdr:nvSpPr>
        <xdr:cNvPr id="26" name="Rectangle: Rounded Corners 25">
          <a:extLst>
            <a:ext uri="{FF2B5EF4-FFF2-40B4-BE49-F238E27FC236}">
              <a16:creationId xmlns:a16="http://schemas.microsoft.com/office/drawing/2014/main" id="{E8116FE7-E1D2-40ED-B8A5-A10F635E482C}"/>
            </a:ext>
          </a:extLst>
        </xdr:cNvPr>
        <xdr:cNvSpPr/>
      </xdr:nvSpPr>
      <xdr:spPr>
        <a:xfrm>
          <a:off x="0" y="359833"/>
          <a:ext cx="2304203" cy="783167"/>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294566</xdr:colOff>
      <xdr:row>3</xdr:row>
      <xdr:rowOff>9623</xdr:rowOff>
    </xdr:from>
    <xdr:to>
      <xdr:col>11</xdr:col>
      <xdr:colOff>288051</xdr:colOff>
      <xdr:row>9</xdr:row>
      <xdr:rowOff>8758</xdr:rowOff>
    </xdr:to>
    <xdr:sp macro="" textlink="">
      <xdr:nvSpPr>
        <xdr:cNvPr id="7" name="Rectangle: Rounded Corners 6">
          <a:extLst>
            <a:ext uri="{FF2B5EF4-FFF2-40B4-BE49-F238E27FC236}">
              <a16:creationId xmlns:a16="http://schemas.microsoft.com/office/drawing/2014/main" id="{1B04AEA8-1258-82B2-841A-C53CDB0EE5F3}"/>
            </a:ext>
          </a:extLst>
        </xdr:cNvPr>
        <xdr:cNvSpPr/>
      </xdr:nvSpPr>
      <xdr:spPr>
        <a:xfrm>
          <a:off x="4612566" y="561416"/>
          <a:ext cx="2445899" cy="11027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8758</xdr:colOff>
      <xdr:row>3</xdr:row>
      <xdr:rowOff>3447</xdr:rowOff>
    </xdr:from>
    <xdr:to>
      <xdr:col>6</xdr:col>
      <xdr:colOff>17517</xdr:colOff>
      <xdr:row>9</xdr:row>
      <xdr:rowOff>5862</xdr:rowOff>
    </xdr:to>
    <xdr:sp macro="" textlink="">
      <xdr:nvSpPr>
        <xdr:cNvPr id="4" name="Rectangle: Rounded Corners 3">
          <a:extLst>
            <a:ext uri="{FF2B5EF4-FFF2-40B4-BE49-F238E27FC236}">
              <a16:creationId xmlns:a16="http://schemas.microsoft.com/office/drawing/2014/main" id="{B25D83A4-7459-A6DE-544C-54B91DBC58F0}"/>
            </a:ext>
          </a:extLst>
        </xdr:cNvPr>
        <xdr:cNvSpPr/>
      </xdr:nvSpPr>
      <xdr:spPr>
        <a:xfrm>
          <a:off x="1261241" y="555240"/>
          <a:ext cx="2461173" cy="11060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17517</xdr:colOff>
      <xdr:row>3</xdr:row>
      <xdr:rowOff>7515</xdr:rowOff>
    </xdr:from>
    <xdr:to>
      <xdr:col>6</xdr:col>
      <xdr:colOff>17517</xdr:colOff>
      <xdr:row>9</xdr:row>
      <xdr:rowOff>4761</xdr:rowOff>
    </xdr:to>
    <xdr:sp macro="" textlink="">
      <xdr:nvSpPr>
        <xdr:cNvPr id="5" name="TextBox 4">
          <a:extLst>
            <a:ext uri="{FF2B5EF4-FFF2-40B4-BE49-F238E27FC236}">
              <a16:creationId xmlns:a16="http://schemas.microsoft.com/office/drawing/2014/main" id="{AE74B74B-F580-4EBA-60A6-3C286344828C}"/>
            </a:ext>
          </a:extLst>
        </xdr:cNvPr>
        <xdr:cNvSpPr txBox="1"/>
      </xdr:nvSpPr>
      <xdr:spPr>
        <a:xfrm>
          <a:off x="1270000" y="559308"/>
          <a:ext cx="2452414" cy="11008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mn-lt"/>
              <a:ea typeface="+mn-ea"/>
              <a:cs typeface="+mn-cs"/>
            </a:rPr>
            <a:t>💰Total Sales</a:t>
          </a:r>
          <a:r>
            <a:rPr lang="en-US" sz="2400">
              <a:solidFill>
                <a:schemeClr val="bg1"/>
              </a:solidFill>
              <a:effectLst/>
            </a:rPr>
            <a:t> </a:t>
          </a:r>
        </a:p>
        <a:p>
          <a:pPr algn="ctr"/>
          <a:r>
            <a:rPr lang="en-US" sz="2400" b="0" i="0" u="none" strike="noStrike">
              <a:solidFill>
                <a:schemeClr val="bg1"/>
              </a:solidFill>
              <a:effectLst/>
              <a:latin typeface="+mn-lt"/>
              <a:ea typeface="+mn-ea"/>
              <a:cs typeface="+mn-cs"/>
            </a:rPr>
            <a:t>₹476,884,225.98</a:t>
          </a:r>
          <a:endParaRPr lang="en-US" sz="2400">
            <a:solidFill>
              <a:schemeClr val="bg1"/>
            </a:solidFill>
            <a:effectLst/>
          </a:endParaRPr>
        </a:p>
      </xdr:txBody>
    </xdr:sp>
    <xdr:clientData/>
  </xdr:twoCellAnchor>
  <xdr:twoCellAnchor>
    <xdr:from>
      <xdr:col>7</xdr:col>
      <xdr:colOff>289478</xdr:colOff>
      <xdr:row>3</xdr:row>
      <xdr:rowOff>678</xdr:rowOff>
    </xdr:from>
    <xdr:to>
      <xdr:col>11</xdr:col>
      <xdr:colOff>294769</xdr:colOff>
      <xdr:row>9</xdr:row>
      <xdr:rowOff>3322</xdr:rowOff>
    </xdr:to>
    <xdr:sp macro="" textlink="">
      <xdr:nvSpPr>
        <xdr:cNvPr id="6" name="TextBox 5">
          <a:extLst>
            <a:ext uri="{FF2B5EF4-FFF2-40B4-BE49-F238E27FC236}">
              <a16:creationId xmlns:a16="http://schemas.microsoft.com/office/drawing/2014/main" id="{5F671FD3-063B-4841-A3F7-5D8798869049}"/>
            </a:ext>
          </a:extLst>
        </xdr:cNvPr>
        <xdr:cNvSpPr txBox="1"/>
      </xdr:nvSpPr>
      <xdr:spPr>
        <a:xfrm>
          <a:off x="4607478" y="552471"/>
          <a:ext cx="2457705" cy="110623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mn-lt"/>
              <a:ea typeface="+mn-ea"/>
              <a:cs typeface="+mn-cs"/>
            </a:rPr>
            <a:t>📦Total Orders</a:t>
          </a:r>
          <a:r>
            <a:rPr lang="en-US" sz="2400">
              <a:solidFill>
                <a:schemeClr val="bg1"/>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2400" b="0" i="0" u="none" strike="noStrike">
              <a:solidFill>
                <a:schemeClr val="bg1"/>
              </a:solidFill>
              <a:effectLst/>
              <a:latin typeface="+mn-lt"/>
              <a:ea typeface="+mn-ea"/>
              <a:cs typeface="+mn-cs"/>
            </a:rPr>
            <a:t>448,732 </a:t>
          </a:r>
        </a:p>
      </xdr:txBody>
    </xdr:sp>
    <xdr:clientData/>
  </xdr:twoCellAnchor>
  <xdr:twoCellAnchor>
    <xdr:from>
      <xdr:col>18</xdr:col>
      <xdr:colOff>315949</xdr:colOff>
      <xdr:row>3</xdr:row>
      <xdr:rowOff>6839</xdr:rowOff>
    </xdr:from>
    <xdr:to>
      <xdr:col>23</xdr:col>
      <xdr:colOff>8856</xdr:colOff>
      <xdr:row>9</xdr:row>
      <xdr:rowOff>5974</xdr:rowOff>
    </xdr:to>
    <xdr:sp macro="" textlink="">
      <xdr:nvSpPr>
        <xdr:cNvPr id="8" name="Rectangle: Rounded Corners 7">
          <a:extLst>
            <a:ext uri="{FF2B5EF4-FFF2-40B4-BE49-F238E27FC236}">
              <a16:creationId xmlns:a16="http://schemas.microsoft.com/office/drawing/2014/main" id="{789F22E6-12BD-4112-BEB0-516F22CA7EEE}"/>
            </a:ext>
          </a:extLst>
        </xdr:cNvPr>
        <xdr:cNvSpPr/>
      </xdr:nvSpPr>
      <xdr:spPr>
        <a:xfrm>
          <a:off x="11383534" y="564400"/>
          <a:ext cx="2759493" cy="11142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30184</xdr:colOff>
      <xdr:row>2</xdr:row>
      <xdr:rowOff>180697</xdr:rowOff>
    </xdr:from>
    <xdr:to>
      <xdr:col>17</xdr:col>
      <xdr:colOff>20167</xdr:colOff>
      <xdr:row>8</xdr:row>
      <xdr:rowOff>179832</xdr:rowOff>
    </xdr:to>
    <xdr:sp macro="" textlink="">
      <xdr:nvSpPr>
        <xdr:cNvPr id="9" name="Rectangle: Rounded Corners 8">
          <a:extLst>
            <a:ext uri="{FF2B5EF4-FFF2-40B4-BE49-F238E27FC236}">
              <a16:creationId xmlns:a16="http://schemas.microsoft.com/office/drawing/2014/main" id="{5DC781AD-CA3D-4FEC-9845-BCF93700FB91}"/>
            </a:ext>
          </a:extLst>
        </xdr:cNvPr>
        <xdr:cNvSpPr/>
      </xdr:nvSpPr>
      <xdr:spPr>
        <a:xfrm>
          <a:off x="8026805" y="548559"/>
          <a:ext cx="2442396" cy="11027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21424</xdr:colOff>
      <xdr:row>3</xdr:row>
      <xdr:rowOff>9074</xdr:rowOff>
    </xdr:from>
    <xdr:to>
      <xdr:col>17</xdr:col>
      <xdr:colOff>26717</xdr:colOff>
      <xdr:row>9</xdr:row>
      <xdr:rowOff>11718</xdr:rowOff>
    </xdr:to>
    <xdr:sp macro="" textlink="">
      <xdr:nvSpPr>
        <xdr:cNvPr id="11" name="TextBox 10">
          <a:extLst>
            <a:ext uri="{FF2B5EF4-FFF2-40B4-BE49-F238E27FC236}">
              <a16:creationId xmlns:a16="http://schemas.microsoft.com/office/drawing/2014/main" id="{7942E4FD-2CF4-4C93-86E4-59D5F1C009F4}"/>
            </a:ext>
          </a:extLst>
        </xdr:cNvPr>
        <xdr:cNvSpPr txBox="1"/>
      </xdr:nvSpPr>
      <xdr:spPr>
        <a:xfrm>
          <a:off x="8018045" y="560867"/>
          <a:ext cx="2457706" cy="110623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mn-lt"/>
              <a:ea typeface="+mn-ea"/>
              <a:cs typeface="+mn-cs"/>
            </a:rPr>
            <a:t>🎁Total Offers</a:t>
          </a:r>
          <a:r>
            <a:rPr lang="en-US" sz="2400">
              <a:solidFill>
                <a:schemeClr val="bg1"/>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2400" b="0" i="0" u="none" strike="noStrike">
              <a:solidFill>
                <a:schemeClr val="bg1"/>
              </a:solidFill>
              <a:effectLst/>
              <a:latin typeface="+mn-lt"/>
              <a:ea typeface="+mn-ea"/>
              <a:cs typeface="+mn-cs"/>
            </a:rPr>
            <a:t>463,456  </a:t>
          </a:r>
        </a:p>
      </xdr:txBody>
    </xdr:sp>
    <xdr:clientData/>
  </xdr:twoCellAnchor>
  <xdr:twoCellAnchor>
    <xdr:from>
      <xdr:col>18</xdr:col>
      <xdr:colOff>325243</xdr:colOff>
      <xdr:row>3</xdr:row>
      <xdr:rowOff>4661</xdr:rowOff>
    </xdr:from>
    <xdr:to>
      <xdr:col>22</xdr:col>
      <xdr:colOff>611253</xdr:colOff>
      <xdr:row>9</xdr:row>
      <xdr:rowOff>7305</xdr:rowOff>
    </xdr:to>
    <xdr:sp macro="" textlink="">
      <xdr:nvSpPr>
        <xdr:cNvPr id="12" name="TextBox 11">
          <a:extLst>
            <a:ext uri="{FF2B5EF4-FFF2-40B4-BE49-F238E27FC236}">
              <a16:creationId xmlns:a16="http://schemas.microsoft.com/office/drawing/2014/main" id="{74B7A3D0-06DE-41B6-9ABA-3D21D8253C78}"/>
            </a:ext>
          </a:extLst>
        </xdr:cNvPr>
        <xdr:cNvSpPr txBox="1"/>
      </xdr:nvSpPr>
      <xdr:spPr>
        <a:xfrm>
          <a:off x="11392828" y="562222"/>
          <a:ext cx="2739279" cy="111776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solidFill>
              <a:effectLst/>
              <a:latin typeface="+mn-lt"/>
              <a:ea typeface="+mn-ea"/>
              <a:cs typeface="+mn-cs"/>
            </a:rPr>
            <a:t>👥Total Customer</a:t>
          </a:r>
          <a:r>
            <a:rPr lang="en-US" sz="2400">
              <a:solidFill>
                <a:schemeClr val="bg1"/>
              </a:solidFill>
              <a:effectLst/>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2400" b="0" i="0" u="none" strike="noStrike">
              <a:solidFill>
                <a:schemeClr val="bg1"/>
              </a:solidFill>
              <a:effectLst/>
              <a:latin typeface="+mn-lt"/>
              <a:ea typeface="+mn-ea"/>
              <a:cs typeface="+mn-cs"/>
            </a:rPr>
            <a:t>200 </a:t>
          </a:r>
        </a:p>
      </xdr:txBody>
    </xdr:sp>
    <xdr:clientData/>
  </xdr:twoCellAnchor>
  <xdr:twoCellAnchor>
    <xdr:from>
      <xdr:col>1</xdr:col>
      <xdr:colOff>1503</xdr:colOff>
      <xdr:row>11</xdr:row>
      <xdr:rowOff>3841</xdr:rowOff>
    </xdr:from>
    <xdr:to>
      <xdr:col>12</xdr:col>
      <xdr:colOff>7056</xdr:colOff>
      <xdr:row>31</xdr:row>
      <xdr:rowOff>3296</xdr:rowOff>
    </xdr:to>
    <xdr:graphicFrame macro="">
      <xdr:nvGraphicFramePr>
        <xdr:cNvPr id="13" name="Chart 10">
          <a:extLst>
            <a:ext uri="{FF2B5EF4-FFF2-40B4-BE49-F238E27FC236}">
              <a16:creationId xmlns:a16="http://schemas.microsoft.com/office/drawing/2014/main" id="{33AE2A86-39D1-030D-DE09-9AD5C4F86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1679</xdr:colOff>
      <xdr:row>11</xdr:row>
      <xdr:rowOff>4836</xdr:rowOff>
    </xdr:from>
    <xdr:to>
      <xdr:col>24</xdr:col>
      <xdr:colOff>604625</xdr:colOff>
      <xdr:row>31</xdr:row>
      <xdr:rowOff>3404</xdr:rowOff>
    </xdr:to>
    <xdr:graphicFrame macro="">
      <xdr:nvGraphicFramePr>
        <xdr:cNvPr id="14" name="Chart 12">
          <a:extLst>
            <a:ext uri="{FF2B5EF4-FFF2-40B4-BE49-F238E27FC236}">
              <a16:creationId xmlns:a16="http://schemas.microsoft.com/office/drawing/2014/main" id="{E0FC3826-4F9C-BD69-2145-CEBDDF3AC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602681</xdr:colOff>
      <xdr:row>33</xdr:row>
      <xdr:rowOff>9650</xdr:rowOff>
    </xdr:from>
    <xdr:to>
      <xdr:col>12</xdr:col>
      <xdr:colOff>7055</xdr:colOff>
      <xdr:row>53</xdr:row>
      <xdr:rowOff>7886</xdr:rowOff>
    </xdr:to>
    <xdr:graphicFrame macro="">
      <xdr:nvGraphicFramePr>
        <xdr:cNvPr id="15" name="Chart 13">
          <a:extLst>
            <a:ext uri="{FF2B5EF4-FFF2-40B4-BE49-F238E27FC236}">
              <a16:creationId xmlns:a16="http://schemas.microsoft.com/office/drawing/2014/main" id="{703BEEC1-C518-FF32-BEED-08ABCA12C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5650</xdr:colOff>
      <xdr:row>33</xdr:row>
      <xdr:rowOff>9882</xdr:rowOff>
    </xdr:from>
    <xdr:to>
      <xdr:col>25</xdr:col>
      <xdr:colOff>14457</xdr:colOff>
      <xdr:row>53</xdr:row>
      <xdr:rowOff>13841</xdr:rowOff>
    </xdr:to>
    <xdr:graphicFrame macro="">
      <xdr:nvGraphicFramePr>
        <xdr:cNvPr id="16" name="Chart 17">
          <a:extLst>
            <a:ext uri="{FF2B5EF4-FFF2-40B4-BE49-F238E27FC236}">
              <a16:creationId xmlns:a16="http://schemas.microsoft.com/office/drawing/2014/main" id="{C76F2EB8-550E-E039-EAA7-5E2EB65A0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6347</xdr:colOff>
      <xdr:row>55</xdr:row>
      <xdr:rowOff>1401</xdr:rowOff>
    </xdr:from>
    <xdr:to>
      <xdr:col>25</xdr:col>
      <xdr:colOff>1087</xdr:colOff>
      <xdr:row>74</xdr:row>
      <xdr:rowOff>182357</xdr:rowOff>
    </xdr:to>
    <xdr:graphicFrame macro="">
      <xdr:nvGraphicFramePr>
        <xdr:cNvPr id="18" name="Chart 19">
          <a:extLst>
            <a:ext uri="{FF2B5EF4-FFF2-40B4-BE49-F238E27FC236}">
              <a16:creationId xmlns:a16="http://schemas.microsoft.com/office/drawing/2014/main" id="{8CBD8022-4DF5-06E7-1967-82CFF228D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7055</xdr:colOff>
      <xdr:row>11</xdr:row>
      <xdr:rowOff>14002</xdr:rowOff>
    </xdr:from>
    <xdr:to>
      <xdr:col>30</xdr:col>
      <xdr:colOff>7055</xdr:colOff>
      <xdr:row>26</xdr:row>
      <xdr:rowOff>37026</xdr:rowOff>
    </xdr:to>
    <mc:AlternateContent xmlns:mc="http://schemas.openxmlformats.org/markup-compatibility/2006" xmlns:a14="http://schemas.microsoft.com/office/drawing/2010/main">
      <mc:Choice Requires="a14">
        <xdr:graphicFrame macro="">
          <xdr:nvGraphicFramePr>
            <xdr:cNvPr id="19" name="Product">
              <a:extLst>
                <a:ext uri="{FF2B5EF4-FFF2-40B4-BE49-F238E27FC236}">
                  <a16:creationId xmlns:a16="http://schemas.microsoft.com/office/drawing/2014/main" id="{146C76D3-03D0-42B6-93EB-EF7EF88A5E0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688213" y="2360160"/>
              <a:ext cx="2406316" cy="2730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9301</xdr:colOff>
      <xdr:row>29</xdr:row>
      <xdr:rowOff>8208</xdr:rowOff>
    </xdr:from>
    <xdr:to>
      <xdr:col>30</xdr:col>
      <xdr:colOff>10619</xdr:colOff>
      <xdr:row>46</xdr:row>
      <xdr:rowOff>2647</xdr:rowOff>
    </xdr:to>
    <mc:AlternateContent xmlns:mc="http://schemas.openxmlformats.org/markup-compatibility/2006" xmlns:a14="http://schemas.microsoft.com/office/drawing/2010/main">
      <mc:Choice Requires="a14">
        <xdr:graphicFrame macro="">
          <xdr:nvGraphicFramePr>
            <xdr:cNvPr id="21" name="Salesperson">
              <a:extLst>
                <a:ext uri="{FF2B5EF4-FFF2-40B4-BE49-F238E27FC236}">
                  <a16:creationId xmlns:a16="http://schemas.microsoft.com/office/drawing/2014/main" id="{053B45D6-26B5-4151-8E05-A49AC4A3645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5690459" y="5602892"/>
              <a:ext cx="2407634" cy="3062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7937</xdr:colOff>
      <xdr:row>49</xdr:row>
      <xdr:rowOff>19896</xdr:rowOff>
    </xdr:from>
    <xdr:to>
      <xdr:col>30</xdr:col>
      <xdr:colOff>7937</xdr:colOff>
      <xdr:row>57</xdr:row>
      <xdr:rowOff>2238</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7B7A8DDC-F275-4543-8162-15820785AF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689095" y="9224054"/>
              <a:ext cx="2406316" cy="1426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14216</xdr:colOff>
      <xdr:row>55</xdr:row>
      <xdr:rowOff>12142</xdr:rowOff>
    </xdr:from>
    <xdr:to>
      <xdr:col>12</xdr:col>
      <xdr:colOff>7056</xdr:colOff>
      <xdr:row>75</xdr:row>
      <xdr:rowOff>3974</xdr:rowOff>
    </xdr:to>
    <xdr:graphicFrame macro="">
      <xdr:nvGraphicFramePr>
        <xdr:cNvPr id="24" name="Chart 28">
          <a:extLst>
            <a:ext uri="{FF2B5EF4-FFF2-40B4-BE49-F238E27FC236}">
              <a16:creationId xmlns:a16="http://schemas.microsoft.com/office/drawing/2014/main" id="{B5D50F7D-E549-A0F7-A75A-BAE4E72CE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3175</xdr:colOff>
      <xdr:row>60</xdr:row>
      <xdr:rowOff>2096</xdr:rowOff>
    </xdr:from>
    <xdr:to>
      <xdr:col>30</xdr:col>
      <xdr:colOff>8193</xdr:colOff>
      <xdr:row>74</xdr:row>
      <xdr:rowOff>172065</xdr:rowOff>
    </xdr:to>
    <mc:AlternateContent xmlns:mc="http://schemas.openxmlformats.org/markup-compatibility/2006" xmlns:a14="http://schemas.microsoft.com/office/drawing/2010/main">
      <mc:Choice Requires="a14">
        <xdr:graphicFrame macro="">
          <xdr:nvGraphicFramePr>
            <xdr:cNvPr id="25" name="Customer">
              <a:extLst>
                <a:ext uri="{FF2B5EF4-FFF2-40B4-BE49-F238E27FC236}">
                  <a16:creationId xmlns:a16="http://schemas.microsoft.com/office/drawing/2014/main" id="{C69BEDBC-9C10-F426-5D21-8539C178DFAC}"/>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5684333" y="11191464"/>
              <a:ext cx="2411334" cy="2696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30480</xdr:colOff>
      <xdr:row>1</xdr:row>
      <xdr:rowOff>7374</xdr:rowOff>
    </xdr:from>
    <xdr:to>
      <xdr:col>5</xdr:col>
      <xdr:colOff>560145</xdr:colOff>
      <xdr:row>9</xdr:row>
      <xdr:rowOff>179438</xdr:rowOff>
    </xdr:to>
    <xdr:graphicFrame macro="">
      <xdr:nvGraphicFramePr>
        <xdr:cNvPr id="2" name="Chart 1">
          <a:extLst>
            <a:ext uri="{FF2B5EF4-FFF2-40B4-BE49-F238E27FC236}">
              <a16:creationId xmlns:a16="http://schemas.microsoft.com/office/drawing/2014/main" id="{18C8128F-37E3-E90F-572F-8E0D6E157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177209</xdr:rowOff>
    </xdr:from>
    <xdr:to>
      <xdr:col>1</xdr:col>
      <xdr:colOff>0</xdr:colOff>
      <xdr:row>4</xdr:row>
      <xdr:rowOff>26581</xdr:rowOff>
    </xdr:to>
    <xdr:sp macro="" textlink="">
      <xdr:nvSpPr>
        <xdr:cNvPr id="4" name="Rectangle: Rounded Corners 3">
          <a:extLst>
            <a:ext uri="{FF2B5EF4-FFF2-40B4-BE49-F238E27FC236}">
              <a16:creationId xmlns:a16="http://schemas.microsoft.com/office/drawing/2014/main" id="{0E771A87-4604-4B33-B89A-04D1A92097EB}"/>
            </a:ext>
          </a:extLst>
        </xdr:cNvPr>
        <xdr:cNvSpPr/>
      </xdr:nvSpPr>
      <xdr:spPr>
        <a:xfrm>
          <a:off x="0" y="363279"/>
          <a:ext cx="2197395" cy="832883"/>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12</xdr:row>
      <xdr:rowOff>15240</xdr:rowOff>
    </xdr:from>
    <xdr:to>
      <xdr:col>1</xdr:col>
      <xdr:colOff>7620</xdr:colOff>
      <xdr:row>14</xdr:row>
      <xdr:rowOff>15240</xdr:rowOff>
    </xdr:to>
    <xdr:sp macro="" textlink="">
      <xdr:nvSpPr>
        <xdr:cNvPr id="5" name="Rectangle: Rounded Corners 4">
          <a:extLst>
            <a:ext uri="{FF2B5EF4-FFF2-40B4-BE49-F238E27FC236}">
              <a16:creationId xmlns:a16="http://schemas.microsoft.com/office/drawing/2014/main" id="{56BC8BCE-6097-440D-905A-6071ACC29144}"/>
            </a:ext>
          </a:extLst>
        </xdr:cNvPr>
        <xdr:cNvSpPr/>
      </xdr:nvSpPr>
      <xdr:spPr>
        <a:xfrm>
          <a:off x="0" y="3688080"/>
          <a:ext cx="2316480" cy="79248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30276</xdr:colOff>
      <xdr:row>12</xdr:row>
      <xdr:rowOff>0</xdr:rowOff>
    </xdr:from>
    <xdr:to>
      <xdr:col>6</xdr:col>
      <xdr:colOff>0</xdr:colOff>
      <xdr:row>22</xdr:row>
      <xdr:rowOff>148345</xdr:rowOff>
    </xdr:to>
    <xdr:graphicFrame macro="">
      <xdr:nvGraphicFramePr>
        <xdr:cNvPr id="6" name="Chart 5">
          <a:extLst>
            <a:ext uri="{FF2B5EF4-FFF2-40B4-BE49-F238E27FC236}">
              <a16:creationId xmlns:a16="http://schemas.microsoft.com/office/drawing/2014/main" id="{DA75887C-CE60-4488-BA77-C05F667E5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7620</xdr:rowOff>
    </xdr:from>
    <xdr:to>
      <xdr:col>1</xdr:col>
      <xdr:colOff>0</xdr:colOff>
      <xdr:row>27</xdr:row>
      <xdr:rowOff>7620</xdr:rowOff>
    </xdr:to>
    <xdr:sp macro="" textlink="">
      <xdr:nvSpPr>
        <xdr:cNvPr id="7" name="Rectangle: Rounded Corners 6">
          <a:extLst>
            <a:ext uri="{FF2B5EF4-FFF2-40B4-BE49-F238E27FC236}">
              <a16:creationId xmlns:a16="http://schemas.microsoft.com/office/drawing/2014/main" id="{C5D31171-E79A-4C04-A6B9-DCAC3A9F0041}"/>
            </a:ext>
          </a:extLst>
        </xdr:cNvPr>
        <xdr:cNvSpPr/>
      </xdr:nvSpPr>
      <xdr:spPr>
        <a:xfrm>
          <a:off x="0" y="6598920"/>
          <a:ext cx="2308860" cy="79248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35324</xdr:colOff>
      <xdr:row>25</xdr:row>
      <xdr:rowOff>5047</xdr:rowOff>
    </xdr:from>
    <xdr:to>
      <xdr:col>6</xdr:col>
      <xdr:colOff>10092</xdr:colOff>
      <xdr:row>34</xdr:row>
      <xdr:rowOff>177209</xdr:rowOff>
    </xdr:to>
    <xdr:graphicFrame macro="">
      <xdr:nvGraphicFramePr>
        <xdr:cNvPr id="8" name="Chart 7">
          <a:extLst>
            <a:ext uri="{FF2B5EF4-FFF2-40B4-BE49-F238E27FC236}">
              <a16:creationId xmlns:a16="http://schemas.microsoft.com/office/drawing/2014/main" id="{622992E1-B819-442E-8E4E-B5BCA42BE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32800</xdr:colOff>
      <xdr:row>37</xdr:row>
      <xdr:rowOff>16148</xdr:rowOff>
    </xdr:from>
    <xdr:to>
      <xdr:col>5</xdr:col>
      <xdr:colOff>549349</xdr:colOff>
      <xdr:row>47</xdr:row>
      <xdr:rowOff>14378</xdr:rowOff>
    </xdr:to>
    <xdr:graphicFrame macro="">
      <xdr:nvGraphicFramePr>
        <xdr:cNvPr id="9" name="Chart 8">
          <a:extLst>
            <a:ext uri="{FF2B5EF4-FFF2-40B4-BE49-F238E27FC236}">
              <a16:creationId xmlns:a16="http://schemas.microsoft.com/office/drawing/2014/main" id="{07DC7FDC-9C65-4117-3F4C-C599AA8F6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37</xdr:row>
      <xdr:rowOff>0</xdr:rowOff>
    </xdr:from>
    <xdr:to>
      <xdr:col>1</xdr:col>
      <xdr:colOff>0</xdr:colOff>
      <xdr:row>39</xdr:row>
      <xdr:rowOff>1</xdr:rowOff>
    </xdr:to>
    <xdr:sp macro="" textlink="">
      <xdr:nvSpPr>
        <xdr:cNvPr id="10" name="Rectangle: Rounded Corners 9">
          <a:extLst>
            <a:ext uri="{FF2B5EF4-FFF2-40B4-BE49-F238E27FC236}">
              <a16:creationId xmlns:a16="http://schemas.microsoft.com/office/drawing/2014/main" id="{21BD822C-E2C2-4C44-B415-ADB22FCDBEE9}"/>
            </a:ext>
          </a:extLst>
        </xdr:cNvPr>
        <xdr:cNvSpPr/>
      </xdr:nvSpPr>
      <xdr:spPr>
        <a:xfrm>
          <a:off x="0" y="8023709"/>
          <a:ext cx="2825960" cy="797325"/>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48</xdr:row>
      <xdr:rowOff>175260</xdr:rowOff>
    </xdr:from>
    <xdr:to>
      <xdr:col>1</xdr:col>
      <xdr:colOff>0</xdr:colOff>
      <xdr:row>50</xdr:row>
      <xdr:rowOff>388620</xdr:rowOff>
    </xdr:to>
    <xdr:sp macro="" textlink="">
      <xdr:nvSpPr>
        <xdr:cNvPr id="11" name="Rectangle: Rounded Corners 10">
          <a:extLst>
            <a:ext uri="{FF2B5EF4-FFF2-40B4-BE49-F238E27FC236}">
              <a16:creationId xmlns:a16="http://schemas.microsoft.com/office/drawing/2014/main" id="{B15EFB24-37EB-4FD8-AABB-2731D7F94B4B}"/>
            </a:ext>
          </a:extLst>
        </xdr:cNvPr>
        <xdr:cNvSpPr/>
      </xdr:nvSpPr>
      <xdr:spPr>
        <a:xfrm>
          <a:off x="0" y="9570720"/>
          <a:ext cx="2308860" cy="792480"/>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53</xdr:row>
      <xdr:rowOff>0</xdr:rowOff>
    </xdr:from>
    <xdr:to>
      <xdr:col>1</xdr:col>
      <xdr:colOff>0</xdr:colOff>
      <xdr:row>55</xdr:row>
      <xdr:rowOff>999</xdr:rowOff>
    </xdr:to>
    <xdr:sp macro="" textlink="">
      <xdr:nvSpPr>
        <xdr:cNvPr id="12" name="Rectangle: Rounded Corners 11">
          <a:extLst>
            <a:ext uri="{FF2B5EF4-FFF2-40B4-BE49-F238E27FC236}">
              <a16:creationId xmlns:a16="http://schemas.microsoft.com/office/drawing/2014/main" id="{951B04F5-4291-4402-A448-5CDEC0E2AD0C}"/>
            </a:ext>
          </a:extLst>
        </xdr:cNvPr>
        <xdr:cNvSpPr/>
      </xdr:nvSpPr>
      <xdr:spPr>
        <a:xfrm>
          <a:off x="0" y="11723557"/>
          <a:ext cx="3222885" cy="787983"/>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77306</xdr:colOff>
      <xdr:row>57</xdr:row>
      <xdr:rowOff>19878</xdr:rowOff>
    </xdr:from>
    <xdr:to>
      <xdr:col>5</xdr:col>
      <xdr:colOff>552175</xdr:colOff>
      <xdr:row>67</xdr:row>
      <xdr:rowOff>20052</xdr:rowOff>
    </xdr:to>
    <xdr:graphicFrame macro="">
      <xdr:nvGraphicFramePr>
        <xdr:cNvPr id="18" name="Chart 17">
          <a:extLst>
            <a:ext uri="{FF2B5EF4-FFF2-40B4-BE49-F238E27FC236}">
              <a16:creationId xmlns:a16="http://schemas.microsoft.com/office/drawing/2014/main" id="{DA9B0B69-CF8A-9947-98A6-7A79CE257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57</xdr:row>
      <xdr:rowOff>0</xdr:rowOff>
    </xdr:from>
    <xdr:to>
      <xdr:col>1</xdr:col>
      <xdr:colOff>0</xdr:colOff>
      <xdr:row>59</xdr:row>
      <xdr:rowOff>999</xdr:rowOff>
    </xdr:to>
    <xdr:sp macro="" textlink="">
      <xdr:nvSpPr>
        <xdr:cNvPr id="19" name="Rectangle: Rounded Corners 18">
          <a:extLst>
            <a:ext uri="{FF2B5EF4-FFF2-40B4-BE49-F238E27FC236}">
              <a16:creationId xmlns:a16="http://schemas.microsoft.com/office/drawing/2014/main" id="{D9FD649B-47C3-4114-9970-0231B490641A}"/>
            </a:ext>
          </a:extLst>
        </xdr:cNvPr>
        <xdr:cNvSpPr/>
      </xdr:nvSpPr>
      <xdr:spPr>
        <a:xfrm>
          <a:off x="0" y="15670696"/>
          <a:ext cx="3279913" cy="796129"/>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30179</xdr:colOff>
      <xdr:row>68</xdr:row>
      <xdr:rowOff>177466</xdr:rowOff>
    </xdr:from>
    <xdr:to>
      <xdr:col>6</xdr:col>
      <xdr:colOff>0</xdr:colOff>
      <xdr:row>78</xdr:row>
      <xdr:rowOff>175460</xdr:rowOff>
    </xdr:to>
    <xdr:graphicFrame macro="">
      <xdr:nvGraphicFramePr>
        <xdr:cNvPr id="20" name="Chart 19">
          <a:extLst>
            <a:ext uri="{FF2B5EF4-FFF2-40B4-BE49-F238E27FC236}">
              <a16:creationId xmlns:a16="http://schemas.microsoft.com/office/drawing/2014/main" id="{0822BAD6-3466-E266-E8ED-7FAE197C1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69</xdr:row>
      <xdr:rowOff>0</xdr:rowOff>
    </xdr:from>
    <xdr:to>
      <xdr:col>1</xdr:col>
      <xdr:colOff>0</xdr:colOff>
      <xdr:row>71</xdr:row>
      <xdr:rowOff>999</xdr:rowOff>
    </xdr:to>
    <xdr:sp macro="" textlink="">
      <xdr:nvSpPr>
        <xdr:cNvPr id="21" name="Rectangle: Rounded Corners 20">
          <a:extLst>
            <a:ext uri="{FF2B5EF4-FFF2-40B4-BE49-F238E27FC236}">
              <a16:creationId xmlns:a16="http://schemas.microsoft.com/office/drawing/2014/main" id="{4DE5B5C1-C984-421C-B22D-DD54C79A17E4}"/>
            </a:ext>
          </a:extLst>
        </xdr:cNvPr>
        <xdr:cNvSpPr/>
      </xdr:nvSpPr>
      <xdr:spPr>
        <a:xfrm>
          <a:off x="0" y="18067421"/>
          <a:ext cx="3223461" cy="793078"/>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20</xdr:col>
      <xdr:colOff>186000</xdr:colOff>
      <xdr:row>3</xdr:row>
      <xdr:rowOff>14108</xdr:rowOff>
    </xdr:from>
    <xdr:to>
      <xdr:col>22</xdr:col>
      <xdr:colOff>14966</xdr:colOff>
      <xdr:row>9</xdr:row>
      <xdr:rowOff>2319</xdr:rowOff>
    </xdr:to>
    <xdr:sp macro="" textlink="">
      <xdr:nvSpPr>
        <xdr:cNvPr id="25" name="Rectangle: Rounded Corners 24">
          <a:extLst>
            <a:ext uri="{FF2B5EF4-FFF2-40B4-BE49-F238E27FC236}">
              <a16:creationId xmlns:a16="http://schemas.microsoft.com/office/drawing/2014/main" id="{0244ACA5-EAE1-4135-9991-6052024AA278}"/>
            </a:ext>
          </a:extLst>
        </xdr:cNvPr>
        <xdr:cNvSpPr/>
      </xdr:nvSpPr>
      <xdr:spPr>
        <a:xfrm>
          <a:off x="14934000" y="890108"/>
          <a:ext cx="3056966" cy="1068211"/>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1116000</xdr:colOff>
      <xdr:row>3</xdr:row>
      <xdr:rowOff>11789</xdr:rowOff>
    </xdr:from>
    <xdr:to>
      <xdr:col>24</xdr:col>
      <xdr:colOff>1383500</xdr:colOff>
      <xdr:row>9</xdr:row>
      <xdr:rowOff>0</xdr:rowOff>
    </xdr:to>
    <xdr:sp macro="" textlink="">
      <xdr:nvSpPr>
        <xdr:cNvPr id="11" name="Rectangle: Rounded Corners 10">
          <a:extLst>
            <a:ext uri="{FF2B5EF4-FFF2-40B4-BE49-F238E27FC236}">
              <a16:creationId xmlns:a16="http://schemas.microsoft.com/office/drawing/2014/main" id="{1B6E51A6-920D-47E6-A8B2-A46C2DC6A420}"/>
            </a:ext>
          </a:extLst>
        </xdr:cNvPr>
        <xdr:cNvSpPr/>
      </xdr:nvSpPr>
      <xdr:spPr>
        <a:xfrm>
          <a:off x="19092000" y="887789"/>
          <a:ext cx="3033500" cy="1068211"/>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310552</xdr:colOff>
      <xdr:row>3</xdr:row>
      <xdr:rowOff>26410</xdr:rowOff>
    </xdr:from>
    <xdr:to>
      <xdr:col>18</xdr:col>
      <xdr:colOff>627482</xdr:colOff>
      <xdr:row>9</xdr:row>
      <xdr:rowOff>23953</xdr:rowOff>
    </xdr:to>
    <xdr:sp macro="" textlink="">
      <xdr:nvSpPr>
        <xdr:cNvPr id="9" name="Rectangle: Rounded Corners 8">
          <a:extLst>
            <a:ext uri="{FF2B5EF4-FFF2-40B4-BE49-F238E27FC236}">
              <a16:creationId xmlns:a16="http://schemas.microsoft.com/office/drawing/2014/main" id="{CB1A878A-D031-4E2A-91C2-47FC18602C9B}"/>
            </a:ext>
          </a:extLst>
        </xdr:cNvPr>
        <xdr:cNvSpPr/>
      </xdr:nvSpPr>
      <xdr:spPr>
        <a:xfrm>
          <a:off x="11140552" y="902410"/>
          <a:ext cx="2770930" cy="1077543"/>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65089</xdr:colOff>
      <xdr:row>2</xdr:row>
      <xdr:rowOff>177023</xdr:rowOff>
    </xdr:from>
    <xdr:to>
      <xdr:col>13</xdr:col>
      <xdr:colOff>71392</xdr:colOff>
      <xdr:row>9</xdr:row>
      <xdr:rowOff>7717</xdr:rowOff>
    </xdr:to>
    <xdr:sp macro="" textlink="">
      <xdr:nvSpPr>
        <xdr:cNvPr id="7" name="Rectangle: Rounded Corners 6">
          <a:extLst>
            <a:ext uri="{FF2B5EF4-FFF2-40B4-BE49-F238E27FC236}">
              <a16:creationId xmlns:a16="http://schemas.microsoft.com/office/drawing/2014/main" id="{37D4001C-730D-43B8-8867-CF02A8FEA2B6}"/>
            </a:ext>
          </a:extLst>
        </xdr:cNvPr>
        <xdr:cNvSpPr/>
      </xdr:nvSpPr>
      <xdr:spPr>
        <a:xfrm>
          <a:off x="7223089" y="873023"/>
          <a:ext cx="3066303" cy="1090694"/>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149027</xdr:colOff>
      <xdr:row>3</xdr:row>
      <xdr:rowOff>8734</xdr:rowOff>
    </xdr:from>
    <xdr:to>
      <xdr:col>6</xdr:col>
      <xdr:colOff>535707</xdr:colOff>
      <xdr:row>9</xdr:row>
      <xdr:rowOff>8734</xdr:rowOff>
    </xdr:to>
    <xdr:sp macro="" textlink="">
      <xdr:nvSpPr>
        <xdr:cNvPr id="5" name="Rectangle: Rounded Corners 4">
          <a:extLst>
            <a:ext uri="{FF2B5EF4-FFF2-40B4-BE49-F238E27FC236}">
              <a16:creationId xmlns:a16="http://schemas.microsoft.com/office/drawing/2014/main" id="{B8736869-CA1B-409C-B825-A366EB5634E1}"/>
            </a:ext>
          </a:extLst>
        </xdr:cNvPr>
        <xdr:cNvSpPr/>
      </xdr:nvSpPr>
      <xdr:spPr>
        <a:xfrm>
          <a:off x="3947027" y="884734"/>
          <a:ext cx="2522680" cy="10800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601981</xdr:colOff>
      <xdr:row>3</xdr:row>
      <xdr:rowOff>1</xdr:rowOff>
    </xdr:from>
    <xdr:to>
      <xdr:col>2</xdr:col>
      <xdr:colOff>684611</xdr:colOff>
      <xdr:row>9</xdr:row>
      <xdr:rowOff>12424</xdr:rowOff>
    </xdr:to>
    <xdr:sp macro="" textlink="">
      <xdr:nvSpPr>
        <xdr:cNvPr id="3" name="Rectangle: Rounded Corners 2">
          <a:extLst>
            <a:ext uri="{FF2B5EF4-FFF2-40B4-BE49-F238E27FC236}">
              <a16:creationId xmlns:a16="http://schemas.microsoft.com/office/drawing/2014/main" id="{CBA0FD41-C50D-D041-AACC-98925A75A423}"/>
            </a:ext>
          </a:extLst>
        </xdr:cNvPr>
        <xdr:cNvSpPr/>
      </xdr:nvSpPr>
      <xdr:spPr>
        <a:xfrm>
          <a:off x="601981" y="887017"/>
          <a:ext cx="2475786" cy="1119704"/>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592835</xdr:colOff>
      <xdr:row>11</xdr:row>
      <xdr:rowOff>9181</xdr:rowOff>
    </xdr:from>
    <xdr:to>
      <xdr:col>7</xdr:col>
      <xdr:colOff>0</xdr:colOff>
      <xdr:row>30</xdr:row>
      <xdr:rowOff>175425</xdr:rowOff>
    </xdr:to>
    <xdr:graphicFrame macro="">
      <xdr:nvGraphicFramePr>
        <xdr:cNvPr id="12" name="Chart 12">
          <a:extLst>
            <a:ext uri="{FF2B5EF4-FFF2-40B4-BE49-F238E27FC236}">
              <a16:creationId xmlns:a16="http://schemas.microsoft.com/office/drawing/2014/main" id="{4F0180A6-3766-265D-1587-E6414D00B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20594</xdr:colOff>
      <xdr:row>11</xdr:row>
      <xdr:rowOff>13730</xdr:rowOff>
    </xdr:from>
    <xdr:to>
      <xdr:col>25</xdr:col>
      <xdr:colOff>12859</xdr:colOff>
      <xdr:row>30</xdr:row>
      <xdr:rowOff>170792</xdr:rowOff>
    </xdr:to>
    <xdr:graphicFrame macro="">
      <xdr:nvGraphicFramePr>
        <xdr:cNvPr id="13" name="Chart 16">
          <a:extLst>
            <a:ext uri="{FF2B5EF4-FFF2-40B4-BE49-F238E27FC236}">
              <a16:creationId xmlns:a16="http://schemas.microsoft.com/office/drawing/2014/main" id="{DE6233A9-5BCE-471A-B314-339B7F85F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xdr:colOff>
      <xdr:row>11</xdr:row>
      <xdr:rowOff>27542</xdr:rowOff>
    </xdr:from>
    <xdr:to>
      <xdr:col>16</xdr:col>
      <xdr:colOff>601579</xdr:colOff>
      <xdr:row>30</xdr:row>
      <xdr:rowOff>172792</xdr:rowOff>
    </xdr:to>
    <xdr:graphicFrame macro="">
      <xdr:nvGraphicFramePr>
        <xdr:cNvPr id="14" name="Chart 14">
          <a:extLst>
            <a:ext uri="{FF2B5EF4-FFF2-40B4-BE49-F238E27FC236}">
              <a16:creationId xmlns:a16="http://schemas.microsoft.com/office/drawing/2014/main" id="{60260C82-EFB3-A331-B166-14957EC32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33</xdr:row>
      <xdr:rowOff>12163</xdr:rowOff>
    </xdr:from>
    <xdr:to>
      <xdr:col>19</xdr:col>
      <xdr:colOff>0</xdr:colOff>
      <xdr:row>52</xdr:row>
      <xdr:rowOff>165100</xdr:rowOff>
    </xdr:to>
    <xdr:graphicFrame macro="">
      <xdr:nvGraphicFramePr>
        <xdr:cNvPr id="15" name="Chart 13">
          <a:extLst>
            <a:ext uri="{FF2B5EF4-FFF2-40B4-BE49-F238E27FC236}">
              <a16:creationId xmlns:a16="http://schemas.microsoft.com/office/drawing/2014/main" id="{9ADDBA39-2E37-7EDB-45F9-9090FCD3C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14103</xdr:colOff>
      <xdr:row>3</xdr:row>
      <xdr:rowOff>15809</xdr:rowOff>
    </xdr:from>
    <xdr:to>
      <xdr:col>29</xdr:col>
      <xdr:colOff>11374</xdr:colOff>
      <xdr:row>11</xdr:row>
      <xdr:rowOff>156576</xdr:rowOff>
    </xdr:to>
    <mc:AlternateContent xmlns:mc="http://schemas.openxmlformats.org/markup-compatibility/2006" xmlns:a14="http://schemas.microsoft.com/office/drawing/2010/main">
      <mc:Choice Requires="a14">
        <xdr:graphicFrame macro="">
          <xdr:nvGraphicFramePr>
            <xdr:cNvPr id="16" name="Year 1">
              <a:extLst>
                <a:ext uri="{FF2B5EF4-FFF2-40B4-BE49-F238E27FC236}">
                  <a16:creationId xmlns:a16="http://schemas.microsoft.com/office/drawing/2014/main" id="{735F40AE-5BD5-E76F-1514-622EAD185F2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699932" y="886666"/>
              <a:ext cx="1826071" cy="1356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5119</xdr:colOff>
      <xdr:row>32</xdr:row>
      <xdr:rowOff>88814</xdr:rowOff>
    </xdr:from>
    <xdr:to>
      <xdr:col>29</xdr:col>
      <xdr:colOff>8531</xdr:colOff>
      <xdr:row>46</xdr:row>
      <xdr:rowOff>131884</xdr:rowOff>
    </xdr:to>
    <mc:AlternateContent xmlns:mc="http://schemas.openxmlformats.org/markup-compatibility/2006" xmlns:a14="http://schemas.microsoft.com/office/drawing/2010/main">
      <mc:Choice Requires="a14">
        <xdr:graphicFrame macro="">
          <xdr:nvGraphicFramePr>
            <xdr:cNvPr id="17" name="Salesperson 1">
              <a:extLst>
                <a:ext uri="{FF2B5EF4-FFF2-40B4-BE49-F238E27FC236}">
                  <a16:creationId xmlns:a16="http://schemas.microsoft.com/office/drawing/2014/main" id="{6FCDFD44-BDB1-A2DA-0887-10B820AF0FE6}"/>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2690948" y="6010643"/>
              <a:ext cx="1832212" cy="3526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595922</xdr:colOff>
      <xdr:row>14</xdr:row>
      <xdr:rowOff>28840</xdr:rowOff>
    </xdr:from>
    <xdr:to>
      <xdr:col>28</xdr:col>
      <xdr:colOff>584550</xdr:colOff>
      <xdr:row>30</xdr:row>
      <xdr:rowOff>41753</xdr:rowOff>
    </xdr:to>
    <mc:AlternateContent xmlns:mc="http://schemas.openxmlformats.org/markup-compatibility/2006">
      <mc:Choice xmlns:a14="http://schemas.microsoft.com/office/drawing/2010/main" Requires="a14">
        <xdr:graphicFrame macro="">
          <xdr:nvGraphicFramePr>
            <xdr:cNvPr id="18" name="Product 1">
              <a:extLst>
                <a:ext uri="{FF2B5EF4-FFF2-40B4-BE49-F238E27FC236}">
                  <a16:creationId xmlns:a16="http://schemas.microsoft.com/office/drawing/2014/main" id="{25A1E064-CA50-78AC-4078-ADA3BE6B0EA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2766493" y="2913554"/>
              <a:ext cx="1839200" cy="2915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12620</xdr:colOff>
      <xdr:row>3</xdr:row>
      <xdr:rowOff>10872</xdr:rowOff>
    </xdr:from>
    <xdr:to>
      <xdr:col>2</xdr:col>
      <xdr:colOff>665083</xdr:colOff>
      <xdr:row>8</xdr:row>
      <xdr:rowOff>158766</xdr:rowOff>
    </xdr:to>
    <xdr:sp macro="" textlink="">
      <xdr:nvSpPr>
        <xdr:cNvPr id="19" name="TextBox 18">
          <a:extLst>
            <a:ext uri="{FF2B5EF4-FFF2-40B4-BE49-F238E27FC236}">
              <a16:creationId xmlns:a16="http://schemas.microsoft.com/office/drawing/2014/main" id="{5BA14DA7-6C9D-4F6A-B4E5-5006B1EB6030}"/>
            </a:ext>
          </a:extLst>
        </xdr:cNvPr>
        <xdr:cNvSpPr txBox="1"/>
      </xdr:nvSpPr>
      <xdr:spPr>
        <a:xfrm>
          <a:off x="619839" y="897888"/>
          <a:ext cx="2438400" cy="107062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ysClr val="windowText" lastClr="000000"/>
              </a:solidFill>
              <a:effectLst/>
              <a:latin typeface="+mn-lt"/>
              <a:ea typeface="+mn-ea"/>
              <a:cs typeface="+mn-cs"/>
            </a:rPr>
            <a:t>💰Total Sales</a:t>
          </a:r>
          <a:r>
            <a:rPr lang="en-US" sz="2400">
              <a:solidFill>
                <a:sysClr val="windowText" lastClr="000000"/>
              </a:solidFill>
              <a:effectLst/>
            </a:rPr>
            <a:t> </a:t>
          </a:r>
        </a:p>
        <a:p>
          <a:pPr algn="ctr"/>
          <a:r>
            <a:rPr lang="en-US" sz="2400" b="0" i="0" u="none" strike="noStrike">
              <a:solidFill>
                <a:sysClr val="windowText" lastClr="000000"/>
              </a:solidFill>
              <a:effectLst/>
              <a:latin typeface="+mn-lt"/>
              <a:ea typeface="+mn-ea"/>
              <a:cs typeface="+mn-cs"/>
            </a:rPr>
            <a:t>₹476,884,225.98</a:t>
          </a:r>
          <a:endParaRPr lang="en-US" sz="2400">
            <a:solidFill>
              <a:sysClr val="windowText" lastClr="000000"/>
            </a:solidFill>
            <a:effectLst/>
          </a:endParaRPr>
        </a:p>
      </xdr:txBody>
    </xdr:sp>
    <xdr:clientData/>
  </xdr:twoCellAnchor>
  <xdr:twoCellAnchor>
    <xdr:from>
      <xdr:col>3</xdr:col>
      <xdr:colOff>93120</xdr:colOff>
      <xdr:row>3</xdr:row>
      <xdr:rowOff>17908</xdr:rowOff>
    </xdr:from>
    <xdr:to>
      <xdr:col>6</xdr:col>
      <xdr:colOff>468420</xdr:colOff>
      <xdr:row>9</xdr:row>
      <xdr:rowOff>6001</xdr:rowOff>
    </xdr:to>
    <xdr:sp macro="" textlink="">
      <xdr:nvSpPr>
        <xdr:cNvPr id="20" name="TextBox 19">
          <a:extLst>
            <a:ext uri="{FF2B5EF4-FFF2-40B4-BE49-F238E27FC236}">
              <a16:creationId xmlns:a16="http://schemas.microsoft.com/office/drawing/2014/main" id="{C34D5BEC-48A6-4D10-8A89-693F22578782}"/>
            </a:ext>
          </a:extLst>
        </xdr:cNvPr>
        <xdr:cNvSpPr txBox="1"/>
      </xdr:nvSpPr>
      <xdr:spPr>
        <a:xfrm>
          <a:off x="3891120" y="893908"/>
          <a:ext cx="2511300" cy="106809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ysClr val="windowText" lastClr="000000"/>
              </a:solidFill>
              <a:effectLst/>
              <a:latin typeface="+mn-lt"/>
              <a:ea typeface="+mn-ea"/>
              <a:cs typeface="+mn-cs"/>
            </a:rPr>
            <a:t>📦Total Quantity</a:t>
          </a:r>
          <a:endParaRPr lang="en-US" sz="2400">
            <a:solidFill>
              <a:sysClr val="windowText" lastClr="000000"/>
            </a:solidFill>
            <a:effectLst/>
          </a:endParaRPr>
        </a:p>
        <a:p>
          <a:pPr algn="ctr" fontAlgn="b"/>
          <a:r>
            <a:rPr lang="en-US" sz="2400" b="0" i="0" u="none" strike="noStrike">
              <a:solidFill>
                <a:sysClr val="windowText" lastClr="000000"/>
              </a:solidFill>
              <a:effectLst/>
              <a:latin typeface="+mn-lt"/>
              <a:ea typeface="+mn-ea"/>
              <a:cs typeface="+mn-cs"/>
            </a:rPr>
            <a:t>806,748</a:t>
          </a:r>
        </a:p>
      </xdr:txBody>
    </xdr:sp>
    <xdr:clientData/>
  </xdr:twoCellAnchor>
  <xdr:twoCellAnchor>
    <xdr:from>
      <xdr:col>8</xdr:col>
      <xdr:colOff>16439</xdr:colOff>
      <xdr:row>3</xdr:row>
      <xdr:rowOff>0</xdr:rowOff>
    </xdr:from>
    <xdr:to>
      <xdr:col>13</xdr:col>
      <xdr:colOff>39300</xdr:colOff>
      <xdr:row>9</xdr:row>
      <xdr:rowOff>2239</xdr:rowOff>
    </xdr:to>
    <xdr:sp macro="" textlink="">
      <xdr:nvSpPr>
        <xdr:cNvPr id="21" name="TextBox 20">
          <a:extLst>
            <a:ext uri="{FF2B5EF4-FFF2-40B4-BE49-F238E27FC236}">
              <a16:creationId xmlns:a16="http://schemas.microsoft.com/office/drawing/2014/main" id="{EA6320A9-50ED-4740-A684-5D33E4795F12}"/>
            </a:ext>
          </a:extLst>
        </xdr:cNvPr>
        <xdr:cNvSpPr txBox="1"/>
      </xdr:nvSpPr>
      <xdr:spPr>
        <a:xfrm>
          <a:off x="7174439" y="876000"/>
          <a:ext cx="3082861" cy="108223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tx2">
                  <a:lumMod val="50000"/>
                </a:schemeClr>
              </a:solidFill>
              <a:effectLst/>
              <a:latin typeface="+mn-lt"/>
              <a:ea typeface="+mn-ea"/>
              <a:cs typeface="+mn-cs"/>
            </a:rPr>
            <a:t>📃Total Transactions</a:t>
          </a:r>
          <a:r>
            <a:rPr lang="en-US" sz="2400">
              <a:solidFill>
                <a:schemeClr val="tx2">
                  <a:lumMod val="50000"/>
                </a:schemeClr>
              </a:solidFill>
              <a:effectLst/>
            </a:rPr>
            <a:t> </a:t>
          </a:r>
        </a:p>
        <a:p>
          <a:pPr marL="0" marR="0" lvl="0" indent="0" algn="ctr" defTabSz="914400" eaLnBrk="1" fontAlgn="b" latinLnBrk="0" hangingPunct="1">
            <a:lnSpc>
              <a:spcPct val="100000"/>
            </a:lnSpc>
            <a:spcBef>
              <a:spcPts val="0"/>
            </a:spcBef>
            <a:spcAft>
              <a:spcPts val="0"/>
            </a:spcAft>
            <a:buClrTx/>
            <a:buSzTx/>
            <a:buFontTx/>
            <a:buNone/>
            <a:tabLst/>
            <a:defRPr/>
          </a:pPr>
          <a:r>
            <a:rPr lang="en-US" sz="2400" b="0" i="0" u="none" strike="noStrike">
              <a:solidFill>
                <a:schemeClr val="tx2">
                  <a:lumMod val="50000"/>
                </a:schemeClr>
              </a:solidFill>
              <a:effectLst/>
              <a:latin typeface="+mn-lt"/>
              <a:ea typeface="+mn-ea"/>
              <a:cs typeface="+mn-cs"/>
            </a:rPr>
            <a:t>804</a:t>
          </a:r>
        </a:p>
      </xdr:txBody>
    </xdr:sp>
    <xdr:clientData/>
  </xdr:twoCellAnchor>
  <xdr:twoCellAnchor>
    <xdr:from>
      <xdr:col>14</xdr:col>
      <xdr:colOff>323229</xdr:colOff>
      <xdr:row>3</xdr:row>
      <xdr:rowOff>47904</xdr:rowOff>
    </xdr:from>
    <xdr:to>
      <xdr:col>18</xdr:col>
      <xdr:colOff>620428</xdr:colOff>
      <xdr:row>9</xdr:row>
      <xdr:rowOff>13413</xdr:rowOff>
    </xdr:to>
    <xdr:sp macro="" textlink="">
      <xdr:nvSpPr>
        <xdr:cNvPr id="22" name="TextBox 21">
          <a:extLst>
            <a:ext uri="{FF2B5EF4-FFF2-40B4-BE49-F238E27FC236}">
              <a16:creationId xmlns:a16="http://schemas.microsoft.com/office/drawing/2014/main" id="{27FBCBA9-8F9A-4E24-B4D0-EB2E09A4870D}"/>
            </a:ext>
          </a:extLst>
        </xdr:cNvPr>
        <xdr:cNvSpPr txBox="1"/>
      </xdr:nvSpPr>
      <xdr:spPr>
        <a:xfrm>
          <a:off x="11153229" y="923904"/>
          <a:ext cx="2751199" cy="104550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tx2">
                  <a:lumMod val="50000"/>
                </a:schemeClr>
              </a:solidFill>
              <a:effectLst/>
              <a:latin typeface="+mn-lt"/>
              <a:ea typeface="+mn-ea"/>
              <a:cs typeface="+mn-cs"/>
            </a:rPr>
            <a:t>👥Total Customers</a:t>
          </a:r>
          <a:r>
            <a:rPr lang="en-US" sz="2400">
              <a:solidFill>
                <a:schemeClr val="tx2">
                  <a:lumMod val="50000"/>
                </a:schemeClr>
              </a:solidFill>
              <a:effectLst/>
            </a:rPr>
            <a:t> </a:t>
          </a:r>
        </a:p>
        <a:p>
          <a:pPr marL="0" marR="0" lvl="0" indent="0" algn="ctr" defTabSz="914400" eaLnBrk="1" fontAlgn="b" latinLnBrk="0" hangingPunct="1">
            <a:lnSpc>
              <a:spcPct val="100000"/>
            </a:lnSpc>
            <a:spcBef>
              <a:spcPts val="0"/>
            </a:spcBef>
            <a:spcAft>
              <a:spcPts val="0"/>
            </a:spcAft>
            <a:buClrTx/>
            <a:buSzTx/>
            <a:buFontTx/>
            <a:buNone/>
            <a:tabLst/>
            <a:defRPr/>
          </a:pPr>
          <a:r>
            <a:rPr lang="en-US" sz="2400" b="0" i="0" u="none" strike="noStrike">
              <a:solidFill>
                <a:schemeClr val="tx2">
                  <a:lumMod val="50000"/>
                </a:schemeClr>
              </a:solidFill>
              <a:effectLst/>
              <a:latin typeface="+mn-lt"/>
              <a:ea typeface="+mn-ea"/>
              <a:cs typeface="+mn-cs"/>
            </a:rPr>
            <a:t>200  </a:t>
          </a:r>
        </a:p>
      </xdr:txBody>
    </xdr:sp>
    <xdr:clientData/>
  </xdr:twoCellAnchor>
  <xdr:twoCellAnchor>
    <xdr:from>
      <xdr:col>20</xdr:col>
      <xdr:colOff>195191</xdr:colOff>
      <xdr:row>3</xdr:row>
      <xdr:rowOff>17577</xdr:rowOff>
    </xdr:from>
    <xdr:to>
      <xdr:col>21</xdr:col>
      <xdr:colOff>1710001</xdr:colOff>
      <xdr:row>8</xdr:row>
      <xdr:rowOff>141077</xdr:rowOff>
    </xdr:to>
    <xdr:sp macro="" textlink="">
      <xdr:nvSpPr>
        <xdr:cNvPr id="23" name="TextBox 22">
          <a:extLst>
            <a:ext uri="{FF2B5EF4-FFF2-40B4-BE49-F238E27FC236}">
              <a16:creationId xmlns:a16="http://schemas.microsoft.com/office/drawing/2014/main" id="{556D39EC-0D98-48D6-BCA4-7B02BC6D8B0A}"/>
            </a:ext>
          </a:extLst>
        </xdr:cNvPr>
        <xdr:cNvSpPr txBox="1"/>
      </xdr:nvSpPr>
      <xdr:spPr>
        <a:xfrm>
          <a:off x="14943191" y="893577"/>
          <a:ext cx="3020810" cy="1023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a:t>
          </a:r>
          <a:r>
            <a:rPr lang="en-US" sz="2400" b="1"/>
            <a:t>Total Salespersons</a:t>
          </a:r>
          <a:r>
            <a:rPr lang="en-US" sz="2400"/>
            <a:t> 10</a:t>
          </a:r>
          <a:endParaRPr lang="en-US" sz="2400" b="0" i="0" u="none" strike="noStrike">
            <a:solidFill>
              <a:schemeClr val="tx2">
                <a:lumMod val="50000"/>
              </a:schemeClr>
            </a:solidFill>
            <a:effectLst/>
            <a:latin typeface="+mn-lt"/>
            <a:ea typeface="+mn-ea"/>
            <a:cs typeface="+mn-cs"/>
          </a:endParaRPr>
        </a:p>
      </xdr:txBody>
    </xdr:sp>
    <xdr:clientData/>
  </xdr:twoCellAnchor>
  <xdr:twoCellAnchor>
    <xdr:from>
      <xdr:col>22</xdr:col>
      <xdr:colOff>1080000</xdr:colOff>
      <xdr:row>3</xdr:row>
      <xdr:rowOff>61871</xdr:rowOff>
    </xdr:from>
    <xdr:to>
      <xdr:col>25</xdr:col>
      <xdr:colOff>11167</xdr:colOff>
      <xdr:row>9</xdr:row>
      <xdr:rowOff>5371</xdr:rowOff>
    </xdr:to>
    <xdr:sp macro="" textlink="">
      <xdr:nvSpPr>
        <xdr:cNvPr id="24" name="TextBox 23">
          <a:extLst>
            <a:ext uri="{FF2B5EF4-FFF2-40B4-BE49-F238E27FC236}">
              <a16:creationId xmlns:a16="http://schemas.microsoft.com/office/drawing/2014/main" id="{F712F5C8-7C62-4131-B05F-5A77DF1A67DA}"/>
            </a:ext>
          </a:extLst>
        </xdr:cNvPr>
        <xdr:cNvSpPr txBox="1"/>
      </xdr:nvSpPr>
      <xdr:spPr>
        <a:xfrm>
          <a:off x="19056000" y="937871"/>
          <a:ext cx="3083167" cy="1023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tx2">
                  <a:lumMod val="50000"/>
                </a:schemeClr>
              </a:solidFill>
            </a:rPr>
            <a:t>📊</a:t>
          </a:r>
          <a:r>
            <a:rPr lang="en-US" sz="2400" b="1" i="0" u="none" strike="noStrike">
              <a:solidFill>
                <a:schemeClr val="tx2">
                  <a:lumMod val="50000"/>
                </a:schemeClr>
              </a:solidFill>
              <a:effectLst/>
              <a:latin typeface="+mn-lt"/>
              <a:ea typeface="+mn-ea"/>
              <a:cs typeface="+mn-cs"/>
            </a:rPr>
            <a:t>Avg. Sales Amount</a:t>
          </a:r>
          <a:r>
            <a:rPr lang="en-US" sz="2400">
              <a:solidFill>
                <a:schemeClr val="tx2">
                  <a:lumMod val="50000"/>
                </a:schemeClr>
              </a:solidFill>
              <a:effectLst/>
            </a:rPr>
            <a:t> </a:t>
          </a:r>
        </a:p>
        <a:p>
          <a:pPr marL="0" marR="0" lvl="0" indent="0" algn="ctr" defTabSz="914400" eaLnBrk="1" fontAlgn="b" latinLnBrk="0" hangingPunct="1">
            <a:lnSpc>
              <a:spcPct val="100000"/>
            </a:lnSpc>
            <a:spcBef>
              <a:spcPts val="0"/>
            </a:spcBef>
            <a:spcAft>
              <a:spcPts val="0"/>
            </a:spcAft>
            <a:buClrTx/>
            <a:buSzTx/>
            <a:buFontTx/>
            <a:buNone/>
            <a:tabLst/>
            <a:defRPr/>
          </a:pPr>
          <a:r>
            <a:rPr lang="en-US" sz="2400" b="0" i="0" u="none" strike="noStrike">
              <a:solidFill>
                <a:schemeClr val="tx2">
                  <a:lumMod val="50000"/>
                </a:schemeClr>
              </a:solidFill>
              <a:effectLst/>
              <a:latin typeface="+mn-lt"/>
              <a:ea typeface="+mn-ea"/>
              <a:cs typeface="+mn-cs"/>
            </a:rPr>
            <a:t>$1,062.74</a:t>
          </a:r>
          <a:r>
            <a:rPr lang="en-US" sz="1100" b="0" i="0" u="none" strike="noStrike">
              <a:solidFill>
                <a:schemeClr val="tx2">
                  <a:lumMod val="50000"/>
                </a:schemeClr>
              </a:solidFill>
              <a:effectLst/>
              <a:latin typeface="+mn-lt"/>
              <a:ea typeface="+mn-ea"/>
              <a:cs typeface="+mn-cs"/>
            </a:rPr>
            <a:t> </a:t>
          </a:r>
          <a:r>
            <a:rPr lang="en-US" sz="2400" b="0" i="0" u="none" strike="noStrike">
              <a:solidFill>
                <a:schemeClr val="tx2">
                  <a:lumMod val="50000"/>
                </a:schemeClr>
              </a:solidFill>
              <a:effectLst/>
              <a:latin typeface="+mn-lt"/>
              <a:ea typeface="+mn-ea"/>
              <a:cs typeface="+mn-cs"/>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HAH" refreshedDate="46234.923324421296" createdVersion="8" refreshedVersion="8" minRefreshableVersion="3" recordCount="804" xr:uid="{A3F762E3-D52D-4AAF-831C-22BB65714C11}">
  <cacheSource type="worksheet">
    <worksheetSource name="SalesData"/>
  </cacheSource>
  <cacheFields count="11">
    <cacheField name="Year" numFmtId="0">
      <sharedItems containsSemiMixedTypes="0" containsString="0" containsNumber="1" containsInteger="1" minValue="2021" maxValue="2024" count="4">
        <n v="2024"/>
        <n v="2023"/>
        <n v="2022"/>
        <n v="2021"/>
      </sharedItems>
    </cacheField>
    <cacheField name="Salesperson" numFmtId="0">
      <sharedItems count="10">
        <s v="Salesperson 1"/>
        <s v="Salesperson 2"/>
        <s v="Salesperson 3"/>
        <s v="Salesperson 4"/>
        <s v="Salesperson 5"/>
        <s v="Salesperson 6"/>
        <s v="Salesperson 7"/>
        <s v="Salesperson 8"/>
        <s v="Salesperson 9"/>
        <s v="Salesperson 10"/>
      </sharedItems>
    </cacheField>
    <cacheField name="Customer ID" numFmtId="0">
      <sharedItems/>
    </cacheField>
    <cacheField name="Customer" numFmtId="0">
      <sharedItems count="200">
        <s v="Customer Name 1"/>
        <s v="Customer Name 2"/>
        <s v="Customer Name 3"/>
        <s v="Customer Name 4"/>
        <s v="Customer Name 5"/>
        <s v="Customer Name 6"/>
        <s v="Customer Name 7"/>
        <s v="Customer Name 8"/>
        <s v="Customer Name 9"/>
        <s v="Customer Name 10"/>
        <s v="Customer Name 11"/>
        <s v="Customer Name 12"/>
        <s v="Customer Name 13"/>
        <s v="Customer Name 14"/>
        <s v="Customer Name 15"/>
        <s v="Customer Name 16"/>
        <s v="Customer Name 17"/>
        <s v="Customer Name 18"/>
        <s v="Customer Name 19"/>
        <s v="Customer Name 20"/>
        <s v="Customer Name 21"/>
        <s v="Customer Name 22"/>
        <s v="Customer Name 23"/>
        <s v="Customer Name 24"/>
        <s v="Customer Name 25"/>
        <s v="Customer Name 26"/>
        <s v="Customer Name 27"/>
        <s v="Customer Name 28"/>
        <s v="Customer Name 29"/>
        <s v="Customer Name 30"/>
        <s v="Customer Name 31"/>
        <s v="Customer Name 32"/>
        <s v="Customer Name 33"/>
        <s v="Customer Name 34"/>
        <s v="Customer Name 35"/>
        <s v="Customer Name 36"/>
        <s v="Customer Name 37"/>
        <s v="Customer Name 38"/>
        <s v="Customer Name 39"/>
        <s v="Customer Name 40"/>
        <s v="Customer Name 41"/>
        <s v="Customer Name 42"/>
        <s v="Customer Name 43"/>
        <s v="Customer Name 44"/>
        <s v="Customer Name 45"/>
        <s v="Customer Name 46"/>
        <s v="Customer Name 47"/>
        <s v="Customer Name 48"/>
        <s v="Customer Name 49"/>
        <s v="Customer Name 50"/>
        <s v="Customer Name 51"/>
        <s v="Customer Name 52"/>
        <s v="Customer Name 53"/>
        <s v="Customer Name 54"/>
        <s v="Customer Name 55"/>
        <s v="Customer Name 56"/>
        <s v="Customer Name 57"/>
        <s v="Customer Name 58"/>
        <s v="Customer Name 59"/>
        <s v="Customer Name 60"/>
        <s v="Customer Name 61"/>
        <s v="Customer Name 62"/>
        <s v="Customer Name 63"/>
        <s v="Customer Name 64"/>
        <s v="Customer Name 65"/>
        <s v="Customer Name 66"/>
        <s v="Customer Name 67"/>
        <s v="Customer Name 68"/>
        <s v="Customer Name 69"/>
        <s v="Customer Name 70"/>
        <s v="Customer Name 71"/>
        <s v="Customer Name 72"/>
        <s v="Customer Name 73"/>
        <s v="Customer Name 74"/>
        <s v="Customer Name 75"/>
        <s v="Customer Name 76"/>
        <s v="Customer Name 77"/>
        <s v="Customer Name 78"/>
        <s v="Customer Name 79"/>
        <s v="Customer Name 80"/>
        <s v="Customer Name 81"/>
        <s v="Customer Name 82"/>
        <s v="Customer Name 83"/>
        <s v="Customer Name 84"/>
        <s v="Customer Name 85"/>
        <s v="Customer Name 86"/>
        <s v="Customer Name 87"/>
        <s v="Customer Name 88"/>
        <s v="Customer Name 89"/>
        <s v="Customer Name 90"/>
        <s v="Customer Name 91"/>
        <s v="Customer Name 92"/>
        <s v="Customer Name 93"/>
        <s v="Customer Name 94"/>
        <s v="Customer Name 95"/>
        <s v="Customer Name 96"/>
        <s v="Customer Name 97"/>
        <s v="Customer Name 98"/>
        <s v="Customer Name 99"/>
        <s v="Customer Name 100"/>
        <s v="Customer Name 101"/>
        <s v="Customer Name 102"/>
        <s v="Customer Name 103"/>
        <s v="Customer Name 104"/>
        <s v="Customer Name 105"/>
        <s v="Customer Name 106"/>
        <s v="Customer Name 107"/>
        <s v="Customer Name 108"/>
        <s v="Customer Name 109"/>
        <s v="Customer Name 110"/>
        <s v="Customer Name 111"/>
        <s v="Customer Name 112"/>
        <s v="Customer Name 113"/>
        <s v="Customer Name 114"/>
        <s v="Customer Name 115"/>
        <s v="Customer Name 116"/>
        <s v="Customer Name 117"/>
        <s v="Customer Name 118"/>
        <s v="Customer Name 119"/>
        <s v="Customer Name 120"/>
        <s v="Customer Name 121"/>
        <s v="Customer Name 122"/>
        <s v="Customer Name 123"/>
        <s v="Customer Name 124"/>
        <s v="Customer Name 125"/>
        <s v="Customer Name 126"/>
        <s v="Customer Name 127"/>
        <s v="Customer Name 128"/>
        <s v="Customer Name 129"/>
        <s v="Customer Name 130"/>
        <s v="Customer Name 131"/>
        <s v="Customer Name 132"/>
        <s v="Customer Name 133"/>
        <s v="Customer Name 134"/>
        <s v="Customer Name 135"/>
        <s v="Customer Name 136"/>
        <s v="Customer Name 137"/>
        <s v="Customer Name 138"/>
        <s v="Customer Name 139"/>
        <s v="Customer Name 140"/>
        <s v="Customer Name 141"/>
        <s v="Customer Name 142"/>
        <s v="Customer Name 143"/>
        <s v="Customer Name 144"/>
        <s v="Customer Name 145"/>
        <s v="Customer Name 146"/>
        <s v="Customer Name 147"/>
        <s v="Customer Name 148"/>
        <s v="Customer Name 149"/>
        <s v="Customer Name 150"/>
        <s v="Customer Name 151"/>
        <s v="Customer Name 152"/>
        <s v="Customer Name 153"/>
        <s v="Customer Name 154"/>
        <s v="Customer Name 155"/>
        <s v="Customer Name 156"/>
        <s v="Customer Name 157"/>
        <s v="Customer Name 158"/>
        <s v="Customer Name 159"/>
        <s v="Customer Name 160"/>
        <s v="Customer Name 161"/>
        <s v="Customer Name 162"/>
        <s v="Customer Name 163"/>
        <s v="Customer Name 164"/>
        <s v="Customer Name 165"/>
        <s v="Customer Name 166"/>
        <s v="Customer Name 167"/>
        <s v="Customer Name 168"/>
        <s v="Customer Name 169"/>
        <s v="Customer Name 170"/>
        <s v="Customer Name 171"/>
        <s v="Customer Name 172"/>
        <s v="Customer Name 173"/>
        <s v="Customer Name 174"/>
        <s v="Customer Name 175"/>
        <s v="Customer Name 176"/>
        <s v="Customer Name 177"/>
        <s v="Customer Name 178"/>
        <s v="Customer Name 179"/>
        <s v="Customer Name 180"/>
        <s v="Customer Name 181"/>
        <s v="Customer Name 182"/>
        <s v="Customer Name 183"/>
        <s v="Customer Name 184"/>
        <s v="Customer Name 185"/>
        <s v="Customer Name 186"/>
        <s v="Customer Name 187"/>
        <s v="Customer Name 188"/>
        <s v="Customer Name 189"/>
        <s v="Customer Name 190"/>
        <s v="Customer Name 191"/>
        <s v="Customer Name 192"/>
        <s v="Customer Name 193"/>
        <s v="Customer Name 194"/>
        <s v="Customer Name 195"/>
        <s v="Customer Name 196"/>
        <s v="Customer Name 197"/>
        <s v="Customer Name 198"/>
        <s v="Customer Name 199"/>
        <s v="Customer Name 200"/>
      </sharedItems>
    </cacheField>
    <cacheField name="Product" numFmtId="0">
      <sharedItems count="9">
        <s v="Product N1"/>
        <s v="Product N2"/>
        <s v="Product N3"/>
        <s v="Product N4"/>
        <s v="Product N5"/>
        <s v="Product N6"/>
        <s v="Product N7"/>
        <s v="Product N8"/>
        <s v="Product N9"/>
      </sharedItems>
    </cacheField>
    <cacheField name="Amount" numFmtId="3">
      <sharedItems containsSemiMixedTypes="0" containsString="0" containsNumber="1" minValue="102180" maxValue="1397005.6988159998" count="441">
        <n v="143372.43648000003"/>
        <n v="146688.046848"/>
        <n v="154878.15168000001"/>
        <n v="162358.269696"/>
        <n v="173427.6096"/>
        <n v="180011.123712"/>
        <n v="181755.22176000001"/>
        <n v="185515.62623999998"/>
        <n v="189205.87391999998"/>
        <n v="201783.585024"/>
        <n v="205856.888832"/>
        <n v="209180.91801600001"/>
        <n v="209903.53305599999"/>
        <n v="213040.945152"/>
        <n v="213341.21625599999"/>
        <n v="226860.43161599999"/>
        <n v="232402.81881600001"/>
        <n v="232412.64076799998"/>
        <n v="233591.27500799997"/>
        <n v="249246.06336"/>
        <n v="250173.53625599999"/>
        <n v="256566.223872"/>
        <n v="258394.51008000001"/>
        <n v="261909.36576000002"/>
        <n v="263263.39199999999"/>
        <n v="273365.97120000003"/>
        <n v="274155.93676800001"/>
        <n v="275219.51385599998"/>
        <n v="282727.69459200004"/>
        <n v="288646.12224"/>
        <n v="294115.54636799998"/>
        <n v="299363.27500799997"/>
        <n v="312211.79136000003"/>
        <n v="313522.32038399996"/>
        <n v="319777.50067199999"/>
        <n v="329762.21644799999"/>
        <n v="333881.82374399994"/>
        <n v="335927.59603200003"/>
        <n v="344920.29465600004"/>
        <n v="345122.34623999998"/>
        <n v="345515.22432000004"/>
        <n v="353740.40755200008"/>
        <n v="369869.45587200002"/>
        <n v="381630.54182400007"/>
        <n v="384175.83052800002"/>
        <n v="400913.83987199998"/>
        <n v="427036.02278400009"/>
        <n v="430367.06764799997"/>
        <n v="437610.05567999993"/>
        <n v="441520.59571199998"/>
        <n v="447134.54284799995"/>
        <n v="459099.08352000004"/>
        <n v="460690.23974400002"/>
        <n v="465025.92998400005"/>
        <n v="465195.70944000001"/>
        <n v="486983.60524799995"/>
        <n v="488832.93849600002"/>
        <n v="495771.446016"/>
        <n v="496606.31193600001"/>
        <n v="508120.44595199998"/>
        <n v="523110.14783999999"/>
        <n v="528318.58867199998"/>
        <n v="538040.91801599995"/>
        <n v="548578.46937599999"/>
        <n v="550469.89670399996"/>
        <n v="556027.71840000001"/>
        <n v="572911.65388800006"/>
        <n v="577713.18527999998"/>
        <n v="579979.24992000009"/>
        <n v="584211.10809600004"/>
        <n v="584991.251712"/>
        <n v="585434.64268799999"/>
        <n v="590038.33190400002"/>
        <n v="592566.78297599999"/>
        <n v="597293.94816000003"/>
        <n v="601551.06278400007"/>
        <n v="604409.25081599993"/>
        <n v="605954.1035519999"/>
        <n v="611409.49632000003"/>
        <n v="615400.01510399999"/>
        <n v="640649.44742400013"/>
        <n v="643429.05983999989"/>
        <n v="643582.00166399998"/>
        <n v="653669.14636799996"/>
        <n v="654609.24748800008"/>
        <n v="657531.97977600014"/>
        <n v="657644.23065599997"/>
        <n v="659967.82387199998"/>
        <n v="662396.65228799998"/>
        <n v="675998.652672"/>
        <n v="691680.10060800007"/>
        <n v="693425.601792"/>
        <n v="701698.49164799997"/>
        <n v="705754.95782400004"/>
        <n v="709523.78112000006"/>
        <n v="710940.94848000002"/>
        <n v="724792.70707200002"/>
        <n v="728743.9380480001"/>
        <n v="733256.42342399992"/>
        <n v="735205.37932800001"/>
        <n v="735487.40966400004"/>
        <n v="762994.48780799995"/>
        <n v="767403.14112000004"/>
        <n v="782829.21830399986"/>
        <n v="796526.63193599996"/>
        <n v="805070.32704000012"/>
        <n v="819316.36684800009"/>
        <n v="820704.06835199997"/>
        <n v="824959.77984000009"/>
        <n v="827336.692224"/>
        <n v="837290.53900800005"/>
        <n v="839567.828736"/>
        <n v="858720.635136"/>
        <n v="859627.06099200004"/>
        <n v="867574.42329599988"/>
        <n v="873313.24953599996"/>
        <n v="878259.30393599998"/>
        <n v="884691.27935999993"/>
        <n v="885927.44217599998"/>
        <n v="889628.91494400008"/>
        <n v="893206.91174400004"/>
        <n v="937711.57939199999"/>
        <n v="978998.85619199998"/>
        <n v="985161.42950399988"/>
        <n v="1004613.103872"/>
        <n v="1020535.8912"/>
        <n v="1021491.4268159999"/>
        <n v="1021814.148096"/>
        <n v="1023350.5820159999"/>
        <n v="1026840.1812480001"/>
        <n v="1037624.684544"/>
        <n v="1049283.3415680001"/>
        <n v="1079732.7959040001"/>
        <n v="1100353.28256"/>
        <n v="1106395.1861759999"/>
        <n v="1133839.1232"/>
        <n v="1136465.793792"/>
        <n v="1137164.5555199999"/>
        <n v="1137264.178176"/>
        <n v="1141402.02624"/>
        <n v="1159202.2095359999"/>
        <n v="1163697.8572799999"/>
        <n v="1172200.8614400001"/>
        <n v="1174103.513856"/>
        <n v="1178975.2020480002"/>
        <n v="1189320.5237759999"/>
        <n v="1192630.5216000001"/>
        <n v="1195874.5720319999"/>
        <n v="1208650.125312"/>
        <n v="1210429.3017599999"/>
        <n v="1218282.653952"/>
        <n v="1218693.7728000002"/>
        <n v="1219204.514304"/>
        <n v="1229774.337792"/>
        <n v="1237760.9879040001"/>
        <n v="1254135.5850239999"/>
        <n v="1255155.6648959999"/>
        <n v="1277043.1833599999"/>
        <n v="1287305.720064"/>
        <n v="1290034.8195840002"/>
        <n v="1291950.1002239999"/>
        <n v="1293695.6014080001"/>
        <n v="1308476.236032"/>
        <n v="1322022.1109759999"/>
        <n v="1340766.6048000001"/>
        <n v="1368522.0380160001"/>
        <n v="1368948.59136"/>
        <n v="1380748.9651199998"/>
        <n v="1390503.5665919997"/>
        <n v="1397005.6988159998"/>
        <n v="123625.60000000001"/>
        <n v="129596.32"/>
        <n v="143687.04000000001"/>
        <n v="145079.20000000001"/>
        <n v="148080.79999999999"/>
        <n v="151026.4"/>
        <n v="155182.00320000001"/>
        <n v="166970.72"/>
        <n v="167547.51999999999"/>
        <n v="170051.84"/>
        <n v="170291.52"/>
        <n v="180951.3216"/>
        <n v="185506.72"/>
        <n v="185514.56"/>
        <n v="186455.36"/>
        <n v="198951.2"/>
        <n v="199691.51999999999"/>
        <n v="200347.25760000001"/>
        <n v="200355.7248"/>
        <n v="204794.23999999999"/>
        <n v="206253.6"/>
        <n v="209059.20000000001"/>
        <n v="214867.296"/>
        <n v="219683.52"/>
        <n v="222753.88800000001"/>
        <n v="225676.64"/>
        <n v="225783.93600000002"/>
        <n v="230400.8"/>
        <n v="234766.56"/>
        <n v="237258.2016"/>
        <n v="238955.36"/>
        <n v="244617.408"/>
        <n v="250257.28"/>
        <n v="253547.8848"/>
        <n v="255250.24"/>
        <n v="258071.78879999998"/>
        <n v="263220.15999999997"/>
        <n v="270277.86239999998"/>
        <n v="275480.8"/>
        <n v="275670.25919999997"/>
        <n v="284277.77279999998"/>
        <n v="306653.76"/>
        <n v="318852.9792"/>
        <n v="331186.06080000004"/>
        <n v="340865.28000000003"/>
        <n v="343524.16"/>
        <n v="352427.04"/>
        <n v="356908.16"/>
        <n v="367728.48"/>
        <n v="368134.50240000006"/>
        <n v="396397.12"/>
        <n v="405587.83999999997"/>
        <n v="419813.45279999997"/>
        <n v="421710.24"/>
        <n v="428108.88959999999"/>
        <n v="439391.68"/>
        <n v="443828"/>
        <n v="455447.05920000002"/>
        <n v="457304.96"/>
        <n v="461137.6"/>
        <n v="462946.4"/>
        <n v="466324.32"/>
        <n v="479334.24"/>
        <n v="480165.28"/>
        <n v="482446.72"/>
        <n v="483679.83999999997"/>
        <n v="491219.68"/>
        <n v="511374.08000000002"/>
        <n v="513714.88"/>
        <n v="517632.64"/>
        <n v="518578.50240000006"/>
        <n v="521042.45759999997"/>
        <n v="521766.56"/>
        <n v="522516.96"/>
        <n v="524849.92000000004"/>
        <n v="526794.23999999999"/>
        <n v="552284.00640000007"/>
        <n v="554812.07039999997"/>
        <n v="559043.25120000006"/>
        <n v="564318.31680000003"/>
        <n v="566350.4"/>
        <n v="566837.91360000009"/>
        <n v="578538.23999999999"/>
        <n v="587074.88"/>
        <n v="609031.36"/>
        <n v="612550.40000000002"/>
        <n v="624821.29920000001"/>
        <n v="633797.74080000003"/>
        <n v="634040.87040000001"/>
        <n v="635797.12"/>
        <n v="642616.80000000005"/>
        <n v="653988.16"/>
        <n v="655095.84"/>
        <n v="657753.86879999994"/>
        <n v="658492.80000000005"/>
        <n v="660390.07999999996"/>
        <n v="668335.35999999999"/>
        <n v="670153.12"/>
        <n v="685441.12"/>
        <n v="685790.56"/>
        <n v="686164.64"/>
        <n v="686660.88959999999"/>
        <n v="692508.32"/>
        <n v="694077.43999999994"/>
        <n v="697089.12"/>
        <n v="701037.12"/>
        <n v="705535.04"/>
        <n v="707157.92"/>
        <n v="707503.50719999999"/>
        <n v="710112.48"/>
        <n v="711172.22400000005"/>
        <n v="712968.48"/>
        <n v="713221.28639999998"/>
        <n v="721802.1888"/>
        <n v="723765.36959999998"/>
        <n v="741057.8112"/>
        <n v="749603.6351999999"/>
        <n v="752856.24959999998"/>
        <n v="757120.08959999995"/>
        <n v="761977.8432"/>
        <n v="763730.55359999998"/>
        <n v="764721.44"/>
        <n v="766921.47840000002"/>
        <n v="814604"/>
        <n v="815366.72"/>
        <n v="815624.32"/>
        <n v="816850.72"/>
        <n v="819636.16"/>
        <n v="828244.47999999998"/>
        <n v="861855.67999999993"/>
        <n v="880596.05759999994"/>
        <n v="885207.05280000006"/>
        <n v="894504.03839999996"/>
        <n v="905044"/>
        <n v="907698.4"/>
        <n v="911080.8"/>
        <n v="925289.12"/>
        <n v="928877.6"/>
        <n v="930804.13439999998"/>
        <n v="935664.8"/>
        <n v="937183.52"/>
        <n v="951972"/>
        <n v="954561.44"/>
        <n v="964759.04000000004"/>
        <n v="966179.2"/>
        <n v="972447.84"/>
        <n v="972776"/>
        <n v="979711.89119999995"/>
        <n v="987995.67999999993"/>
        <n v="999312.24959999998"/>
        <n v="1001066.08"/>
        <n v="1001880.32"/>
        <n v="1010517.9840000001"/>
        <n v="1019351.2"/>
        <n v="1029721.28"/>
        <n v="1031250.08"/>
        <n v="1043473.536"/>
        <n v="1053598.56"/>
        <n v="1055253.92"/>
        <n v="1067035.3344000001"/>
        <n v="1070216"/>
        <n v="1092370.72"/>
        <n v="1109746.3104000001"/>
        <n v="1109916.6399999999"/>
        <n v="1113750.0863999999"/>
        <n v="1115106.72"/>
        <n v="1137886.4448000002"/>
        <n v="1155833.28"/>
        <n v="1179760.3776"/>
        <n v="1180128.0959999999"/>
        <n v="1198709.9711999998"/>
        <n v="117088.16"/>
        <n v="138432"/>
        <n v="161066.07999999999"/>
        <n v="164317.44"/>
        <n v="181082.72"/>
        <n v="210140"/>
        <n v="218204"/>
        <n v="226497.6"/>
        <n v="249211.2"/>
        <n v="266508.48"/>
        <n v="268141.44"/>
        <n v="275319.52"/>
        <n v="275794.40000000002"/>
        <n v="304622.08000000002"/>
        <n v="320014.24"/>
        <n v="349305.59999999998"/>
        <n v="366458.4"/>
        <n v="371189.28"/>
        <n v="371324.8"/>
        <n v="390192.32"/>
        <n v="395730.72"/>
        <n v="417552.8"/>
        <n v="429470.71999999997"/>
        <n v="437881.92"/>
        <n v="466947.04"/>
        <n v="467300.96"/>
        <n v="472993.92"/>
        <n v="488034.4"/>
        <n v="508671.52"/>
        <n v="513592.8"/>
        <n v="524939.52000000002"/>
        <n v="539590.24"/>
        <n v="552107.36"/>
        <n v="560104.16"/>
        <n v="563342.07999999996"/>
        <n v="567481.59999999998"/>
        <n v="581692.16000000003"/>
        <n v="585294.07999999996"/>
        <n v="586849.76"/>
        <n v="624863.67999999993"/>
        <n v="704532.64"/>
        <n v="706171.2"/>
        <n v="748492.64"/>
        <n v="781448.64"/>
        <n v="786367.67999999993"/>
        <n v="801894.24"/>
        <n v="836894.24"/>
        <n v="837550.56"/>
        <n v="878315.2"/>
        <n v="883137.92"/>
        <n v="907140.64"/>
        <n v="907777.92"/>
        <n v="941072.16"/>
        <n v="973183.67999999993"/>
        <n v="1027542.88"/>
        <n v="1032643.36"/>
        <n v="1044441.44"/>
        <n v="1102130.3999999999"/>
        <n v="102180"/>
        <n v="114441.60000000001"/>
        <n v="128292"/>
        <n v="149596"/>
        <n v="165638"/>
        <n v="177635"/>
        <n v="184155"/>
        <n v="196146"/>
        <n v="213353"/>
        <n v="223444"/>
        <n v="235018"/>
        <n v="273798"/>
        <n v="295234.24"/>
        <n v="304344"/>
        <n v="347068"/>
        <n v="376527"/>
        <n v="388716.16"/>
        <n v="428719"/>
        <n v="430756"/>
        <n v="462172"/>
        <n v="466533"/>
        <n v="516552"/>
        <n v="524174"/>
        <n v="543778"/>
        <n v="584907"/>
        <n v="589634"/>
        <n v="612647"/>
        <n v="625926"/>
        <n v="629942"/>
        <n v="631391"/>
        <n v="634029"/>
        <n v="729331"/>
        <n v="769514"/>
        <n v="810445"/>
        <n v="862660"/>
        <n v="893809"/>
        <n v="917449"/>
        <n v="920759"/>
        <n v="949329.92000000004"/>
        <n v="955550"/>
        <n v="975331"/>
        <n v="1092711.2"/>
      </sharedItems>
    </cacheField>
    <cacheField name="Offers" numFmtId="3">
      <sharedItems containsSemiMixedTypes="0" containsString="0" containsNumber="1" containsInteger="1" minValue="28" maxValue="1000"/>
    </cacheField>
    <cacheField name="Orders" numFmtId="3">
      <sharedItems containsSemiMixedTypes="0" containsString="0" containsNumber="1" containsInteger="1" minValue="28" maxValue="983"/>
    </cacheField>
    <cacheField name="Month" numFmtId="3">
      <sharedItems count="12">
        <s v="Jan"/>
        <s v="Feb"/>
        <s v="Mar"/>
        <s v="Apr"/>
        <s v="May"/>
        <s v="Jun"/>
        <s v="Jul"/>
        <s v="Aug"/>
        <s v="Sep"/>
        <s v="Oct"/>
        <s v="Nov"/>
        <s v="Dec"/>
      </sharedItems>
    </cacheField>
    <cacheField name="Quantity" numFmtId="0">
      <sharedItems containsSemiMixedTypes="0" containsString="0" containsNumber="1" containsInteger="1" minValue="34" maxValue="2446"/>
    </cacheField>
    <cacheField name="Transaction"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183868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x v="0"/>
    <x v="0"/>
    <s v="S00411"/>
    <x v="0"/>
    <x v="0"/>
    <x v="0"/>
    <n v="795"/>
    <n v="469"/>
    <x v="0"/>
    <n v="747"/>
    <n v="1"/>
  </r>
  <r>
    <x v="0"/>
    <x v="1"/>
    <s v="S00411"/>
    <x v="1"/>
    <x v="1"/>
    <x v="1"/>
    <n v="312"/>
    <n v="983"/>
    <x v="1"/>
    <n v="1291"/>
    <n v="1"/>
  </r>
  <r>
    <x v="0"/>
    <x v="2"/>
    <s v="S00411"/>
    <x v="2"/>
    <x v="2"/>
    <x v="2"/>
    <n v="795"/>
    <n v="469"/>
    <x v="2"/>
    <n v="1006"/>
    <n v="1"/>
  </r>
  <r>
    <x v="0"/>
    <x v="3"/>
    <s v="S00411"/>
    <x v="3"/>
    <x v="3"/>
    <x v="3"/>
    <n v="692"/>
    <n v="300"/>
    <x v="3"/>
    <n v="499"/>
    <n v="1"/>
  </r>
  <r>
    <x v="0"/>
    <x v="3"/>
    <s v="S00411"/>
    <x v="4"/>
    <x v="4"/>
    <x v="4"/>
    <n v="692"/>
    <n v="300"/>
    <x v="4"/>
    <n v="606"/>
    <n v="1"/>
  </r>
  <r>
    <x v="0"/>
    <x v="4"/>
    <s v="S00411"/>
    <x v="5"/>
    <x v="0"/>
    <x v="5"/>
    <n v="403"/>
    <n v="953"/>
    <x v="5"/>
    <n v="1367"/>
    <n v="1"/>
  </r>
  <r>
    <x v="0"/>
    <x v="3"/>
    <s v="S00411"/>
    <x v="6"/>
    <x v="5"/>
    <x v="6"/>
    <n v="168"/>
    <n v="97"/>
    <x v="6"/>
    <n v="138"/>
    <n v="1"/>
  </r>
  <r>
    <x v="0"/>
    <x v="5"/>
    <s v="S00411"/>
    <x v="7"/>
    <x v="4"/>
    <x v="7"/>
    <n v="839"/>
    <n v="983"/>
    <x v="7"/>
    <n v="1641"/>
    <n v="1"/>
  </r>
  <r>
    <x v="0"/>
    <x v="6"/>
    <s v="S00411"/>
    <x v="8"/>
    <x v="0"/>
    <x v="8"/>
    <n v="610"/>
    <n v="970"/>
    <x v="8"/>
    <n v="1158"/>
    <n v="1"/>
  </r>
  <r>
    <x v="0"/>
    <x v="1"/>
    <s v="S00411"/>
    <x v="9"/>
    <x v="1"/>
    <x v="9"/>
    <n v="168"/>
    <n v="97"/>
    <x v="9"/>
    <n v="236"/>
    <n v="1"/>
  </r>
  <r>
    <x v="0"/>
    <x v="1"/>
    <s v="S00411"/>
    <x v="10"/>
    <x v="1"/>
    <x v="10"/>
    <n v="610"/>
    <n v="970"/>
    <x v="10"/>
    <n v="1171"/>
    <n v="1"/>
  </r>
  <r>
    <x v="0"/>
    <x v="6"/>
    <s v="S00411"/>
    <x v="11"/>
    <x v="1"/>
    <x v="11"/>
    <n v="287"/>
    <n v="744"/>
    <x v="11"/>
    <n v="1841"/>
    <n v="1"/>
  </r>
  <r>
    <x v="0"/>
    <x v="5"/>
    <s v="S00411"/>
    <x v="12"/>
    <x v="6"/>
    <x v="12"/>
    <n v="168"/>
    <n v="97"/>
    <x v="0"/>
    <n v="162"/>
    <n v="1"/>
  </r>
  <r>
    <x v="0"/>
    <x v="5"/>
    <s v="S00411"/>
    <x v="13"/>
    <x v="4"/>
    <x v="13"/>
    <n v="168"/>
    <n v="97"/>
    <x v="1"/>
    <n v="226"/>
    <n v="1"/>
  </r>
  <r>
    <x v="0"/>
    <x v="4"/>
    <s v="S00411"/>
    <x v="14"/>
    <x v="7"/>
    <x v="14"/>
    <n v="692"/>
    <n v="300"/>
    <x v="2"/>
    <n v="476"/>
    <n v="1"/>
  </r>
  <r>
    <x v="0"/>
    <x v="3"/>
    <s v="S00411"/>
    <x v="15"/>
    <x v="6"/>
    <x v="15"/>
    <n v="784"/>
    <n v="540"/>
    <x v="3"/>
    <n v="734"/>
    <n v="1"/>
  </r>
  <r>
    <x v="0"/>
    <x v="0"/>
    <s v="S00411"/>
    <x v="16"/>
    <x v="4"/>
    <x v="16"/>
    <n v="872"/>
    <n v="249"/>
    <x v="4"/>
    <n v="496"/>
    <n v="1"/>
  </r>
  <r>
    <x v="0"/>
    <x v="1"/>
    <s v="S00411"/>
    <x v="17"/>
    <x v="0"/>
    <x v="17"/>
    <n v="692"/>
    <n v="300"/>
    <x v="5"/>
    <n v="381"/>
    <n v="1"/>
  </r>
  <r>
    <x v="0"/>
    <x v="1"/>
    <s v="S00411"/>
    <x v="18"/>
    <x v="0"/>
    <x v="18"/>
    <n v="872"/>
    <n v="249"/>
    <x v="6"/>
    <n v="516"/>
    <n v="1"/>
  </r>
  <r>
    <x v="0"/>
    <x v="1"/>
    <s v="S00411"/>
    <x v="19"/>
    <x v="4"/>
    <x v="19"/>
    <n v="872"/>
    <n v="249"/>
    <x v="7"/>
    <n v="462"/>
    <n v="1"/>
  </r>
  <r>
    <x v="0"/>
    <x v="5"/>
    <s v="S00411"/>
    <x v="20"/>
    <x v="6"/>
    <x v="20"/>
    <n v="610"/>
    <n v="970"/>
    <x v="8"/>
    <n v="2170"/>
    <n v="1"/>
  </r>
  <r>
    <x v="0"/>
    <x v="6"/>
    <s v="S00411"/>
    <x v="21"/>
    <x v="2"/>
    <x v="21"/>
    <n v="784"/>
    <n v="540"/>
    <x v="9"/>
    <n v="946"/>
    <n v="1"/>
  </r>
  <r>
    <x v="0"/>
    <x v="2"/>
    <s v="S00411"/>
    <x v="22"/>
    <x v="0"/>
    <x v="22"/>
    <n v="795"/>
    <n v="469"/>
    <x v="10"/>
    <n v="829"/>
    <n v="1"/>
  </r>
  <r>
    <x v="0"/>
    <x v="5"/>
    <s v="S00411"/>
    <x v="23"/>
    <x v="7"/>
    <x v="23"/>
    <n v="287"/>
    <n v="744"/>
    <x v="11"/>
    <n v="1497"/>
    <n v="1"/>
  </r>
  <r>
    <x v="0"/>
    <x v="4"/>
    <s v="S00411"/>
    <x v="24"/>
    <x v="4"/>
    <x v="24"/>
    <n v="93"/>
    <n v="852"/>
    <x v="0"/>
    <n v="1148"/>
    <n v="1"/>
  </r>
  <r>
    <x v="0"/>
    <x v="1"/>
    <s v="S00411"/>
    <x v="25"/>
    <x v="7"/>
    <x v="25"/>
    <n v="403"/>
    <n v="953"/>
    <x v="1"/>
    <n v="2270"/>
    <n v="1"/>
  </r>
  <r>
    <x v="0"/>
    <x v="7"/>
    <s v="S00411"/>
    <x v="26"/>
    <x v="4"/>
    <x v="26"/>
    <n v="968"/>
    <n v="330"/>
    <x v="2"/>
    <n v="451"/>
    <n v="1"/>
  </r>
  <r>
    <x v="0"/>
    <x v="5"/>
    <s v="S00411"/>
    <x v="27"/>
    <x v="4"/>
    <x v="27"/>
    <n v="749"/>
    <n v="648"/>
    <x v="3"/>
    <n v="1161"/>
    <n v="1"/>
  </r>
  <r>
    <x v="0"/>
    <x v="3"/>
    <s v="S00411"/>
    <x v="28"/>
    <x v="7"/>
    <x v="28"/>
    <n v="93"/>
    <n v="852"/>
    <x v="4"/>
    <n v="1955"/>
    <n v="1"/>
  </r>
  <r>
    <x v="0"/>
    <x v="8"/>
    <s v="S00411"/>
    <x v="29"/>
    <x v="3"/>
    <x v="29"/>
    <n v="312"/>
    <n v="983"/>
    <x v="5"/>
    <n v="1310"/>
    <n v="1"/>
  </r>
  <r>
    <x v="0"/>
    <x v="6"/>
    <s v="S00411"/>
    <x v="30"/>
    <x v="4"/>
    <x v="30"/>
    <n v="577"/>
    <n v="175"/>
    <x v="6"/>
    <n v="416"/>
    <n v="1"/>
  </r>
  <r>
    <x v="0"/>
    <x v="6"/>
    <s v="S00411"/>
    <x v="31"/>
    <x v="5"/>
    <x v="31"/>
    <n v="692"/>
    <n v="300"/>
    <x v="7"/>
    <n v="637"/>
    <n v="1"/>
  </r>
  <r>
    <x v="0"/>
    <x v="5"/>
    <s v="S00411"/>
    <x v="32"/>
    <x v="7"/>
    <x v="32"/>
    <n v="597"/>
    <n v="287"/>
    <x v="8"/>
    <n v="529"/>
    <n v="1"/>
  </r>
  <r>
    <x v="0"/>
    <x v="9"/>
    <s v="S00411"/>
    <x v="33"/>
    <x v="4"/>
    <x v="33"/>
    <n v="749"/>
    <n v="648"/>
    <x v="9"/>
    <n v="1226"/>
    <n v="1"/>
  </r>
  <r>
    <x v="0"/>
    <x v="3"/>
    <s v="S00411"/>
    <x v="34"/>
    <x v="2"/>
    <x v="34"/>
    <n v="287"/>
    <n v="744"/>
    <x v="10"/>
    <n v="1225"/>
    <n v="1"/>
  </r>
  <r>
    <x v="0"/>
    <x v="1"/>
    <s v="S00411"/>
    <x v="35"/>
    <x v="0"/>
    <x v="35"/>
    <n v="93"/>
    <n v="852"/>
    <x v="11"/>
    <n v="1208"/>
    <n v="1"/>
  </r>
  <r>
    <x v="0"/>
    <x v="1"/>
    <s v="S00411"/>
    <x v="36"/>
    <x v="5"/>
    <x v="36"/>
    <n v="577"/>
    <n v="175"/>
    <x v="0"/>
    <n v="415"/>
    <n v="1"/>
  </r>
  <r>
    <x v="0"/>
    <x v="5"/>
    <s v="S00411"/>
    <x v="37"/>
    <x v="0"/>
    <x v="37"/>
    <n v="784"/>
    <n v="540"/>
    <x v="1"/>
    <n v="1124"/>
    <n v="1"/>
  </r>
  <r>
    <x v="0"/>
    <x v="3"/>
    <s v="S00411"/>
    <x v="38"/>
    <x v="8"/>
    <x v="38"/>
    <n v="784"/>
    <n v="540"/>
    <x v="2"/>
    <n v="829"/>
    <n v="1"/>
  </r>
  <r>
    <x v="0"/>
    <x v="1"/>
    <s v="S00411"/>
    <x v="39"/>
    <x v="1"/>
    <x v="39"/>
    <n v="577"/>
    <n v="175"/>
    <x v="3"/>
    <n v="215"/>
    <n v="1"/>
  </r>
  <r>
    <x v="0"/>
    <x v="6"/>
    <s v="S00411"/>
    <x v="40"/>
    <x v="0"/>
    <x v="40"/>
    <n v="610"/>
    <n v="970"/>
    <x v="4"/>
    <n v="1206"/>
    <n v="1"/>
  </r>
  <r>
    <x v="0"/>
    <x v="3"/>
    <s v="S00411"/>
    <x v="41"/>
    <x v="4"/>
    <x v="41"/>
    <n v="413"/>
    <n v="930"/>
    <x v="5"/>
    <n v="1116"/>
    <n v="1"/>
  </r>
  <r>
    <x v="0"/>
    <x v="8"/>
    <s v="S00411"/>
    <x v="42"/>
    <x v="2"/>
    <x v="42"/>
    <n v="312"/>
    <n v="983"/>
    <x v="6"/>
    <n v="1459"/>
    <n v="1"/>
  </r>
  <r>
    <x v="0"/>
    <x v="3"/>
    <s v="S00411"/>
    <x v="43"/>
    <x v="6"/>
    <x v="43"/>
    <n v="287"/>
    <n v="744"/>
    <x v="7"/>
    <n v="1591"/>
    <n v="1"/>
  </r>
  <r>
    <x v="0"/>
    <x v="5"/>
    <s v="S00411"/>
    <x v="44"/>
    <x v="1"/>
    <x v="44"/>
    <n v="413"/>
    <n v="930"/>
    <x v="8"/>
    <n v="1951"/>
    <n v="1"/>
  </r>
  <r>
    <x v="0"/>
    <x v="9"/>
    <s v="S00411"/>
    <x v="45"/>
    <x v="1"/>
    <x v="44"/>
    <n v="413"/>
    <n v="930"/>
    <x v="9"/>
    <n v="1959"/>
    <n v="1"/>
  </r>
  <r>
    <x v="0"/>
    <x v="2"/>
    <s v="S00411"/>
    <x v="46"/>
    <x v="5"/>
    <x v="45"/>
    <n v="872"/>
    <n v="249"/>
    <x v="10"/>
    <n v="323"/>
    <n v="1"/>
  </r>
  <r>
    <x v="0"/>
    <x v="9"/>
    <s v="S00411"/>
    <x v="47"/>
    <x v="0"/>
    <x v="46"/>
    <n v="413"/>
    <n v="930"/>
    <x v="11"/>
    <n v="1873"/>
    <n v="1"/>
  </r>
  <r>
    <x v="0"/>
    <x v="7"/>
    <s v="S00411"/>
    <x v="48"/>
    <x v="6"/>
    <x v="47"/>
    <n v="784"/>
    <n v="540"/>
    <x v="0"/>
    <n v="1291"/>
    <n v="1"/>
  </r>
  <r>
    <x v="0"/>
    <x v="1"/>
    <s v="S00411"/>
    <x v="49"/>
    <x v="8"/>
    <x v="48"/>
    <n v="413"/>
    <n v="930"/>
    <x v="1"/>
    <n v="1695"/>
    <n v="1"/>
  </r>
  <r>
    <x v="0"/>
    <x v="3"/>
    <s v="S00411"/>
    <x v="50"/>
    <x v="3"/>
    <x v="49"/>
    <n v="795"/>
    <n v="469"/>
    <x v="2"/>
    <n v="819"/>
    <n v="1"/>
  </r>
  <r>
    <x v="0"/>
    <x v="3"/>
    <s v="S00411"/>
    <x v="51"/>
    <x v="4"/>
    <x v="50"/>
    <n v="597"/>
    <n v="287"/>
    <x v="3"/>
    <n v="368"/>
    <n v="1"/>
  </r>
  <r>
    <x v="0"/>
    <x v="1"/>
    <s v="S00411"/>
    <x v="52"/>
    <x v="4"/>
    <x v="51"/>
    <n v="968"/>
    <n v="330"/>
    <x v="4"/>
    <n v="750"/>
    <n v="1"/>
  </r>
  <r>
    <x v="0"/>
    <x v="3"/>
    <s v="S00411"/>
    <x v="53"/>
    <x v="0"/>
    <x v="52"/>
    <n v="930"/>
    <n v="563"/>
    <x v="5"/>
    <n v="909"/>
    <n v="1"/>
  </r>
  <r>
    <x v="0"/>
    <x v="0"/>
    <s v="S00411"/>
    <x v="54"/>
    <x v="3"/>
    <x v="53"/>
    <n v="692"/>
    <n v="300"/>
    <x v="6"/>
    <n v="370"/>
    <n v="1"/>
  </r>
  <r>
    <x v="0"/>
    <x v="0"/>
    <s v="S00411"/>
    <x v="55"/>
    <x v="8"/>
    <x v="54"/>
    <n v="872"/>
    <n v="249"/>
    <x v="7"/>
    <n v="326"/>
    <n v="1"/>
  </r>
  <r>
    <x v="0"/>
    <x v="7"/>
    <s v="S00411"/>
    <x v="56"/>
    <x v="4"/>
    <x v="55"/>
    <n v="839"/>
    <n v="983"/>
    <x v="8"/>
    <n v="2057"/>
    <n v="1"/>
  </r>
  <r>
    <x v="0"/>
    <x v="8"/>
    <s v="S00411"/>
    <x v="57"/>
    <x v="3"/>
    <x v="56"/>
    <n v="287"/>
    <n v="744"/>
    <x v="9"/>
    <n v="1532"/>
    <n v="1"/>
  </r>
  <r>
    <x v="0"/>
    <x v="1"/>
    <s v="S00411"/>
    <x v="58"/>
    <x v="7"/>
    <x v="57"/>
    <n v="930"/>
    <n v="563"/>
    <x v="10"/>
    <n v="796"/>
    <n v="1"/>
  </r>
  <r>
    <x v="0"/>
    <x v="4"/>
    <s v="S00411"/>
    <x v="59"/>
    <x v="5"/>
    <x v="58"/>
    <n v="210"/>
    <n v="177"/>
    <x v="11"/>
    <n v="252"/>
    <n v="1"/>
  </r>
  <r>
    <x v="0"/>
    <x v="7"/>
    <s v="S00411"/>
    <x v="60"/>
    <x v="0"/>
    <x v="58"/>
    <n v="577"/>
    <n v="175"/>
    <x v="0"/>
    <n v="405"/>
    <n v="1"/>
  </r>
  <r>
    <x v="0"/>
    <x v="2"/>
    <s v="S00411"/>
    <x v="61"/>
    <x v="3"/>
    <x v="59"/>
    <n v="839"/>
    <n v="334"/>
    <x v="1"/>
    <n v="435"/>
    <n v="1"/>
  </r>
  <r>
    <x v="0"/>
    <x v="6"/>
    <s v="S00411"/>
    <x v="62"/>
    <x v="6"/>
    <x v="60"/>
    <n v="403"/>
    <n v="953"/>
    <x v="2"/>
    <n v="2367"/>
    <n v="1"/>
  </r>
  <r>
    <x v="0"/>
    <x v="6"/>
    <s v="S00411"/>
    <x v="63"/>
    <x v="4"/>
    <x v="61"/>
    <n v="968"/>
    <n v="330"/>
    <x v="3"/>
    <n v="595"/>
    <n v="1"/>
  </r>
  <r>
    <x v="0"/>
    <x v="1"/>
    <s v="S00411"/>
    <x v="64"/>
    <x v="5"/>
    <x v="62"/>
    <n v="287"/>
    <n v="744"/>
    <x v="4"/>
    <n v="937"/>
    <n v="1"/>
  </r>
  <r>
    <x v="0"/>
    <x v="1"/>
    <s v="S00411"/>
    <x v="65"/>
    <x v="4"/>
    <x v="63"/>
    <n v="210"/>
    <n v="177"/>
    <x v="5"/>
    <n v="325"/>
    <n v="1"/>
  </r>
  <r>
    <x v="0"/>
    <x v="0"/>
    <s v="S00411"/>
    <x v="66"/>
    <x v="8"/>
    <x v="64"/>
    <n v="839"/>
    <n v="983"/>
    <x v="6"/>
    <n v="2203"/>
    <n v="1"/>
  </r>
  <r>
    <x v="0"/>
    <x v="7"/>
    <s v="S00411"/>
    <x v="67"/>
    <x v="3"/>
    <x v="65"/>
    <n v="839"/>
    <n v="334"/>
    <x v="7"/>
    <n v="676"/>
    <n v="1"/>
  </r>
  <r>
    <x v="0"/>
    <x v="5"/>
    <s v="S00411"/>
    <x v="68"/>
    <x v="0"/>
    <x v="66"/>
    <n v="403"/>
    <n v="953"/>
    <x v="8"/>
    <n v="2093"/>
    <n v="1"/>
  </r>
  <r>
    <x v="0"/>
    <x v="6"/>
    <s v="S00411"/>
    <x v="69"/>
    <x v="7"/>
    <x v="67"/>
    <n v="968"/>
    <n v="330"/>
    <x v="9"/>
    <n v="628"/>
    <n v="1"/>
  </r>
  <r>
    <x v="0"/>
    <x v="3"/>
    <s v="S00411"/>
    <x v="70"/>
    <x v="8"/>
    <x v="68"/>
    <n v="610"/>
    <n v="970"/>
    <x v="10"/>
    <n v="1596"/>
    <n v="1"/>
  </r>
  <r>
    <x v="0"/>
    <x v="2"/>
    <s v="S00411"/>
    <x v="71"/>
    <x v="4"/>
    <x v="69"/>
    <n v="312"/>
    <n v="983"/>
    <x v="11"/>
    <n v="1629"/>
    <n v="1"/>
  </r>
  <r>
    <x v="0"/>
    <x v="6"/>
    <s v="S00411"/>
    <x v="72"/>
    <x v="7"/>
    <x v="70"/>
    <n v="577"/>
    <n v="175"/>
    <x v="0"/>
    <n v="229"/>
    <n v="1"/>
  </r>
  <r>
    <x v="0"/>
    <x v="5"/>
    <s v="S00411"/>
    <x v="73"/>
    <x v="5"/>
    <x v="71"/>
    <n v="610"/>
    <n v="970"/>
    <x v="1"/>
    <n v="1517"/>
    <n v="1"/>
  </r>
  <r>
    <x v="0"/>
    <x v="3"/>
    <s v="S00411"/>
    <x v="74"/>
    <x v="7"/>
    <x v="72"/>
    <n v="413"/>
    <n v="930"/>
    <x v="2"/>
    <n v="1955"/>
    <n v="1"/>
  </r>
  <r>
    <x v="0"/>
    <x v="7"/>
    <s v="S00411"/>
    <x v="75"/>
    <x v="6"/>
    <x v="73"/>
    <n v="692"/>
    <n v="300"/>
    <x v="3"/>
    <n v="336"/>
    <n v="1"/>
  </r>
  <r>
    <x v="0"/>
    <x v="3"/>
    <s v="S00411"/>
    <x v="76"/>
    <x v="6"/>
    <x v="74"/>
    <n v="692"/>
    <n v="300"/>
    <x v="4"/>
    <n v="634"/>
    <n v="1"/>
  </r>
  <r>
    <x v="0"/>
    <x v="3"/>
    <s v="S00411"/>
    <x v="77"/>
    <x v="5"/>
    <x v="75"/>
    <n v="872"/>
    <n v="249"/>
    <x v="5"/>
    <n v="309"/>
    <n v="1"/>
  </r>
  <r>
    <x v="0"/>
    <x v="2"/>
    <s v="S00411"/>
    <x v="78"/>
    <x v="4"/>
    <x v="76"/>
    <n v="568"/>
    <n v="505"/>
    <x v="6"/>
    <n v="1147"/>
    <n v="1"/>
  </r>
  <r>
    <x v="0"/>
    <x v="9"/>
    <s v="S00411"/>
    <x v="79"/>
    <x v="3"/>
    <x v="76"/>
    <n v="692"/>
    <n v="300"/>
    <x v="7"/>
    <n v="601"/>
    <n v="1"/>
  </r>
  <r>
    <x v="0"/>
    <x v="2"/>
    <s v="S00411"/>
    <x v="80"/>
    <x v="8"/>
    <x v="77"/>
    <n v="930"/>
    <n v="563"/>
    <x v="8"/>
    <n v="1003"/>
    <n v="1"/>
  </r>
  <r>
    <x v="0"/>
    <x v="6"/>
    <s v="S00411"/>
    <x v="81"/>
    <x v="3"/>
    <x v="78"/>
    <n v="210"/>
    <n v="177"/>
    <x v="9"/>
    <n v="278"/>
    <n v="1"/>
  </r>
  <r>
    <x v="0"/>
    <x v="1"/>
    <s v="S00411"/>
    <x v="82"/>
    <x v="3"/>
    <x v="79"/>
    <n v="577"/>
    <n v="175"/>
    <x v="10"/>
    <n v="233"/>
    <n v="1"/>
  </r>
  <r>
    <x v="0"/>
    <x v="2"/>
    <s v="S00411"/>
    <x v="83"/>
    <x v="0"/>
    <x v="80"/>
    <n v="210"/>
    <n v="177"/>
    <x v="11"/>
    <n v="202"/>
    <n v="1"/>
  </r>
  <r>
    <x v="0"/>
    <x v="2"/>
    <s v="S00411"/>
    <x v="84"/>
    <x v="3"/>
    <x v="81"/>
    <n v="930"/>
    <n v="563"/>
    <x v="0"/>
    <n v="1379"/>
    <n v="1"/>
  </r>
  <r>
    <x v="0"/>
    <x v="1"/>
    <s v="S00411"/>
    <x v="85"/>
    <x v="3"/>
    <x v="82"/>
    <n v="692"/>
    <n v="300"/>
    <x v="1"/>
    <n v="690"/>
    <n v="1"/>
  </r>
  <r>
    <x v="0"/>
    <x v="0"/>
    <s v="S00411"/>
    <x v="86"/>
    <x v="0"/>
    <x v="82"/>
    <n v="403"/>
    <n v="953"/>
    <x v="2"/>
    <n v="1101"/>
    <n v="1"/>
  </r>
  <r>
    <x v="0"/>
    <x v="1"/>
    <s v="S00411"/>
    <x v="87"/>
    <x v="6"/>
    <x v="83"/>
    <n v="413"/>
    <n v="930"/>
    <x v="3"/>
    <n v="1732"/>
    <n v="1"/>
  </r>
  <r>
    <x v="0"/>
    <x v="9"/>
    <s v="S00411"/>
    <x v="88"/>
    <x v="0"/>
    <x v="84"/>
    <n v="403"/>
    <n v="953"/>
    <x v="4"/>
    <n v="2122"/>
    <n v="1"/>
  </r>
  <r>
    <x v="0"/>
    <x v="6"/>
    <s v="S00411"/>
    <x v="89"/>
    <x v="2"/>
    <x v="85"/>
    <n v="568"/>
    <n v="505"/>
    <x v="5"/>
    <n v="1025"/>
    <n v="1"/>
  </r>
  <r>
    <x v="0"/>
    <x v="8"/>
    <s v="S00411"/>
    <x v="90"/>
    <x v="6"/>
    <x v="86"/>
    <n v="413"/>
    <n v="930"/>
    <x v="6"/>
    <n v="1740"/>
    <n v="1"/>
  </r>
  <r>
    <x v="0"/>
    <x v="9"/>
    <s v="S00411"/>
    <x v="91"/>
    <x v="3"/>
    <x v="87"/>
    <n v="839"/>
    <n v="334"/>
    <x v="7"/>
    <n v="720"/>
    <n v="1"/>
  </r>
  <r>
    <x v="0"/>
    <x v="7"/>
    <s v="S00411"/>
    <x v="92"/>
    <x v="4"/>
    <x v="88"/>
    <n v="93"/>
    <n v="852"/>
    <x v="8"/>
    <n v="2060"/>
    <n v="1"/>
  </r>
  <r>
    <x v="0"/>
    <x v="3"/>
    <s v="S00411"/>
    <x v="93"/>
    <x v="8"/>
    <x v="89"/>
    <n v="168"/>
    <n v="97"/>
    <x v="9"/>
    <n v="223"/>
    <n v="1"/>
  </r>
  <r>
    <x v="0"/>
    <x v="3"/>
    <s v="S00411"/>
    <x v="94"/>
    <x v="7"/>
    <x v="90"/>
    <n v="930"/>
    <n v="563"/>
    <x v="10"/>
    <n v="1383"/>
    <n v="1"/>
  </r>
  <r>
    <x v="0"/>
    <x v="7"/>
    <s v="S00411"/>
    <x v="95"/>
    <x v="8"/>
    <x v="91"/>
    <n v="597"/>
    <n v="287"/>
    <x v="11"/>
    <n v="710"/>
    <n v="1"/>
  </r>
  <r>
    <x v="0"/>
    <x v="9"/>
    <s v="S00411"/>
    <x v="96"/>
    <x v="6"/>
    <x v="92"/>
    <n v="784"/>
    <n v="540"/>
    <x v="0"/>
    <n v="841"/>
    <n v="1"/>
  </r>
  <r>
    <x v="0"/>
    <x v="5"/>
    <s v="S00411"/>
    <x v="97"/>
    <x v="7"/>
    <x v="93"/>
    <n v="568"/>
    <n v="505"/>
    <x v="1"/>
    <n v="1246"/>
    <n v="1"/>
  </r>
  <r>
    <x v="0"/>
    <x v="6"/>
    <s v="S00411"/>
    <x v="98"/>
    <x v="2"/>
    <x v="94"/>
    <n v="795"/>
    <n v="469"/>
    <x v="2"/>
    <n v="681"/>
    <n v="1"/>
  </r>
  <r>
    <x v="0"/>
    <x v="3"/>
    <s v="S00411"/>
    <x v="99"/>
    <x v="4"/>
    <x v="95"/>
    <n v="610"/>
    <n v="970"/>
    <x v="3"/>
    <n v="1815"/>
    <n v="1"/>
  </r>
  <r>
    <x v="0"/>
    <x v="5"/>
    <s v="S00411"/>
    <x v="100"/>
    <x v="4"/>
    <x v="96"/>
    <n v="610"/>
    <n v="970"/>
    <x v="4"/>
    <n v="2000"/>
    <n v="1"/>
  </r>
  <r>
    <x v="0"/>
    <x v="0"/>
    <s v="S00411"/>
    <x v="101"/>
    <x v="1"/>
    <x v="97"/>
    <n v="930"/>
    <n v="563"/>
    <x v="5"/>
    <n v="1020"/>
    <n v="1"/>
  </r>
  <r>
    <x v="0"/>
    <x v="6"/>
    <s v="S00411"/>
    <x v="102"/>
    <x v="1"/>
    <x v="98"/>
    <n v="839"/>
    <n v="983"/>
    <x v="6"/>
    <n v="1149"/>
    <n v="1"/>
  </r>
  <r>
    <x v="0"/>
    <x v="1"/>
    <s v="S00411"/>
    <x v="103"/>
    <x v="3"/>
    <x v="99"/>
    <n v="839"/>
    <n v="334"/>
    <x v="7"/>
    <n v="426"/>
    <n v="1"/>
  </r>
  <r>
    <x v="0"/>
    <x v="5"/>
    <s v="S00411"/>
    <x v="104"/>
    <x v="6"/>
    <x v="100"/>
    <n v="93"/>
    <n v="852"/>
    <x v="8"/>
    <n v="1228"/>
    <n v="1"/>
  </r>
  <r>
    <x v="0"/>
    <x v="7"/>
    <s v="S00411"/>
    <x v="105"/>
    <x v="1"/>
    <x v="101"/>
    <n v="839"/>
    <n v="983"/>
    <x v="9"/>
    <n v="2446"/>
    <n v="1"/>
  </r>
  <r>
    <x v="0"/>
    <x v="3"/>
    <s v="S00411"/>
    <x v="106"/>
    <x v="2"/>
    <x v="102"/>
    <n v="312"/>
    <n v="983"/>
    <x v="10"/>
    <n v="2126"/>
    <n v="1"/>
  </r>
  <r>
    <x v="0"/>
    <x v="3"/>
    <s v="S00411"/>
    <x v="107"/>
    <x v="4"/>
    <x v="102"/>
    <n v="568"/>
    <n v="505"/>
    <x v="11"/>
    <n v="1074"/>
    <n v="1"/>
  </r>
  <r>
    <x v="0"/>
    <x v="3"/>
    <s v="S00411"/>
    <x v="108"/>
    <x v="4"/>
    <x v="103"/>
    <n v="968"/>
    <n v="330"/>
    <x v="0"/>
    <n v="561"/>
    <n v="1"/>
  </r>
  <r>
    <x v="0"/>
    <x v="5"/>
    <s v="S00411"/>
    <x v="109"/>
    <x v="8"/>
    <x v="104"/>
    <n v="968"/>
    <n v="330"/>
    <x v="1"/>
    <n v="794"/>
    <n v="1"/>
  </r>
  <r>
    <x v="0"/>
    <x v="3"/>
    <s v="S00411"/>
    <x v="110"/>
    <x v="3"/>
    <x v="105"/>
    <n v="839"/>
    <n v="334"/>
    <x v="2"/>
    <n v="367"/>
    <n v="1"/>
  </r>
  <r>
    <x v="0"/>
    <x v="0"/>
    <s v="S00411"/>
    <x v="111"/>
    <x v="7"/>
    <x v="106"/>
    <n v="839"/>
    <n v="983"/>
    <x v="3"/>
    <n v="2060"/>
    <n v="1"/>
  </r>
  <r>
    <x v="0"/>
    <x v="5"/>
    <s v="S00411"/>
    <x v="112"/>
    <x v="7"/>
    <x v="107"/>
    <n v="168"/>
    <n v="97"/>
    <x v="4"/>
    <n v="223"/>
    <n v="1"/>
  </r>
  <r>
    <x v="0"/>
    <x v="0"/>
    <s v="S00411"/>
    <x v="113"/>
    <x v="1"/>
    <x v="108"/>
    <n v="795"/>
    <n v="469"/>
    <x v="5"/>
    <n v="931"/>
    <n v="1"/>
  </r>
  <r>
    <x v="0"/>
    <x v="9"/>
    <s v="S00411"/>
    <x v="114"/>
    <x v="4"/>
    <x v="109"/>
    <n v="312"/>
    <n v="983"/>
    <x v="6"/>
    <n v="1119"/>
    <n v="1"/>
  </r>
  <r>
    <x v="0"/>
    <x v="0"/>
    <s v="S00411"/>
    <x v="115"/>
    <x v="4"/>
    <x v="110"/>
    <n v="403"/>
    <n v="953"/>
    <x v="7"/>
    <n v="1677"/>
    <n v="1"/>
  </r>
  <r>
    <x v="0"/>
    <x v="1"/>
    <s v="S00411"/>
    <x v="116"/>
    <x v="0"/>
    <x v="111"/>
    <n v="784"/>
    <n v="540"/>
    <x v="8"/>
    <n v="921"/>
    <n v="1"/>
  </r>
  <r>
    <x v="0"/>
    <x v="0"/>
    <s v="S00411"/>
    <x v="117"/>
    <x v="1"/>
    <x v="112"/>
    <n v="968"/>
    <n v="330"/>
    <x v="9"/>
    <n v="499"/>
    <n v="1"/>
  </r>
  <r>
    <x v="0"/>
    <x v="1"/>
    <s v="S00411"/>
    <x v="118"/>
    <x v="2"/>
    <x v="113"/>
    <n v="568"/>
    <n v="505"/>
    <x v="10"/>
    <n v="870"/>
    <n v="1"/>
  </r>
  <r>
    <x v="0"/>
    <x v="4"/>
    <s v="S00411"/>
    <x v="119"/>
    <x v="1"/>
    <x v="114"/>
    <n v="413"/>
    <n v="930"/>
    <x v="11"/>
    <n v="2137"/>
    <n v="1"/>
  </r>
  <r>
    <x v="0"/>
    <x v="2"/>
    <s v="S00411"/>
    <x v="120"/>
    <x v="8"/>
    <x v="114"/>
    <n v="930"/>
    <n v="563"/>
    <x v="0"/>
    <n v="1096"/>
    <n v="1"/>
  </r>
  <r>
    <x v="0"/>
    <x v="3"/>
    <s v="S00411"/>
    <x v="121"/>
    <x v="7"/>
    <x v="115"/>
    <n v="839"/>
    <n v="334"/>
    <x v="1"/>
    <n v="649"/>
    <n v="1"/>
  </r>
  <r>
    <x v="0"/>
    <x v="3"/>
    <s v="S00411"/>
    <x v="122"/>
    <x v="2"/>
    <x v="116"/>
    <n v="403"/>
    <n v="953"/>
    <x v="2"/>
    <n v="1958"/>
    <n v="1"/>
  </r>
  <r>
    <x v="0"/>
    <x v="2"/>
    <s v="S00411"/>
    <x v="123"/>
    <x v="8"/>
    <x v="117"/>
    <n v="210"/>
    <n v="177"/>
    <x v="3"/>
    <n v="311"/>
    <n v="1"/>
  </r>
  <r>
    <x v="0"/>
    <x v="6"/>
    <s v="S00411"/>
    <x v="124"/>
    <x v="1"/>
    <x v="118"/>
    <n v="839"/>
    <n v="334"/>
    <x v="4"/>
    <n v="577"/>
    <n v="1"/>
  </r>
  <r>
    <x v="0"/>
    <x v="3"/>
    <s v="S00411"/>
    <x v="125"/>
    <x v="8"/>
    <x v="119"/>
    <n v="839"/>
    <n v="983"/>
    <x v="5"/>
    <n v="2137"/>
    <n v="1"/>
  </r>
  <r>
    <x v="0"/>
    <x v="7"/>
    <s v="S00411"/>
    <x v="126"/>
    <x v="5"/>
    <x v="120"/>
    <n v="872"/>
    <n v="249"/>
    <x v="6"/>
    <n v="540"/>
    <n v="1"/>
  </r>
  <r>
    <x v="0"/>
    <x v="1"/>
    <s v="S00411"/>
    <x v="127"/>
    <x v="1"/>
    <x v="121"/>
    <n v="312"/>
    <n v="983"/>
    <x v="7"/>
    <n v="2205"/>
    <n v="1"/>
  </r>
  <r>
    <x v="0"/>
    <x v="6"/>
    <s v="S00411"/>
    <x v="128"/>
    <x v="2"/>
    <x v="122"/>
    <n v="168"/>
    <n v="97"/>
    <x v="8"/>
    <n v="195"/>
    <n v="1"/>
  </r>
  <r>
    <x v="0"/>
    <x v="1"/>
    <s v="S00411"/>
    <x v="129"/>
    <x v="4"/>
    <x v="123"/>
    <n v="413"/>
    <n v="930"/>
    <x v="9"/>
    <n v="1029"/>
    <n v="1"/>
  </r>
  <r>
    <x v="0"/>
    <x v="2"/>
    <s v="S00411"/>
    <x v="130"/>
    <x v="6"/>
    <x v="124"/>
    <n v="749"/>
    <n v="648"/>
    <x v="10"/>
    <n v="1476"/>
    <n v="1"/>
  </r>
  <r>
    <x v="0"/>
    <x v="3"/>
    <s v="S00411"/>
    <x v="131"/>
    <x v="6"/>
    <x v="124"/>
    <n v="784"/>
    <n v="540"/>
    <x v="11"/>
    <n v="878"/>
    <n v="1"/>
  </r>
  <r>
    <x v="0"/>
    <x v="8"/>
    <s v="S00411"/>
    <x v="132"/>
    <x v="5"/>
    <x v="125"/>
    <n v="312"/>
    <n v="983"/>
    <x v="0"/>
    <n v="1407"/>
    <n v="1"/>
  </r>
  <r>
    <x v="0"/>
    <x v="5"/>
    <s v="S00411"/>
    <x v="102"/>
    <x v="2"/>
    <x v="126"/>
    <n v="795"/>
    <n v="469"/>
    <x v="1"/>
    <n v="846"/>
    <n v="1"/>
  </r>
  <r>
    <x v="0"/>
    <x v="3"/>
    <s v="S00411"/>
    <x v="133"/>
    <x v="7"/>
    <x v="127"/>
    <n v="610"/>
    <n v="970"/>
    <x v="2"/>
    <n v="2129"/>
    <n v="1"/>
  </r>
  <r>
    <x v="0"/>
    <x v="9"/>
    <s v="S00411"/>
    <x v="134"/>
    <x v="5"/>
    <x v="128"/>
    <n v="839"/>
    <n v="334"/>
    <x v="3"/>
    <n v="762"/>
    <n v="1"/>
  </r>
  <r>
    <x v="0"/>
    <x v="3"/>
    <s v="S00411"/>
    <x v="135"/>
    <x v="6"/>
    <x v="129"/>
    <n v="784"/>
    <n v="540"/>
    <x v="4"/>
    <n v="1225"/>
    <n v="1"/>
  </r>
  <r>
    <x v="0"/>
    <x v="5"/>
    <s v="S00411"/>
    <x v="136"/>
    <x v="6"/>
    <x v="129"/>
    <n v="597"/>
    <n v="287"/>
    <x v="5"/>
    <n v="706"/>
    <n v="1"/>
  </r>
  <r>
    <x v="0"/>
    <x v="8"/>
    <s v="S00411"/>
    <x v="137"/>
    <x v="1"/>
    <x v="130"/>
    <n v="413"/>
    <n v="930"/>
    <x v="6"/>
    <n v="1273"/>
    <n v="1"/>
  </r>
  <r>
    <x v="0"/>
    <x v="8"/>
    <s v="S00411"/>
    <x v="138"/>
    <x v="0"/>
    <x v="131"/>
    <n v="93"/>
    <n v="852"/>
    <x v="7"/>
    <n v="1686"/>
    <n v="1"/>
  </r>
  <r>
    <x v="0"/>
    <x v="5"/>
    <s v="S00411"/>
    <x v="139"/>
    <x v="1"/>
    <x v="132"/>
    <n v="210"/>
    <n v="177"/>
    <x v="8"/>
    <n v="391"/>
    <n v="1"/>
  </r>
  <r>
    <x v="0"/>
    <x v="1"/>
    <s v="S00411"/>
    <x v="140"/>
    <x v="0"/>
    <x v="133"/>
    <n v="930"/>
    <n v="563"/>
    <x v="9"/>
    <n v="1163"/>
    <n v="1"/>
  </r>
  <r>
    <x v="0"/>
    <x v="1"/>
    <s v="S00411"/>
    <x v="141"/>
    <x v="4"/>
    <x v="134"/>
    <n v="839"/>
    <n v="983"/>
    <x v="10"/>
    <n v="1198"/>
    <n v="1"/>
  </r>
  <r>
    <x v="0"/>
    <x v="1"/>
    <s v="S00411"/>
    <x v="142"/>
    <x v="1"/>
    <x v="135"/>
    <n v="413"/>
    <n v="930"/>
    <x v="11"/>
    <n v="1490"/>
    <n v="1"/>
  </r>
  <r>
    <x v="0"/>
    <x v="1"/>
    <s v="S00411"/>
    <x v="143"/>
    <x v="0"/>
    <x v="136"/>
    <n v="210"/>
    <n v="177"/>
    <x v="0"/>
    <n v="414"/>
    <n v="1"/>
  </r>
  <r>
    <x v="0"/>
    <x v="1"/>
    <s v="S00411"/>
    <x v="144"/>
    <x v="5"/>
    <x v="137"/>
    <n v="312"/>
    <n v="983"/>
    <x v="1"/>
    <n v="1520"/>
    <n v="1"/>
  </r>
  <r>
    <x v="0"/>
    <x v="9"/>
    <s v="S00411"/>
    <x v="145"/>
    <x v="8"/>
    <x v="138"/>
    <n v="597"/>
    <n v="287"/>
    <x v="2"/>
    <n v="678"/>
    <n v="1"/>
  </r>
  <r>
    <x v="0"/>
    <x v="4"/>
    <s v="S00411"/>
    <x v="5"/>
    <x v="5"/>
    <x v="139"/>
    <n v="692"/>
    <n v="300"/>
    <x v="3"/>
    <n v="356"/>
    <n v="1"/>
  </r>
  <r>
    <x v="0"/>
    <x v="5"/>
    <s v="S00411"/>
    <x v="142"/>
    <x v="5"/>
    <x v="140"/>
    <n v="839"/>
    <n v="983"/>
    <x v="4"/>
    <n v="1092"/>
    <n v="1"/>
  </r>
  <r>
    <x v="0"/>
    <x v="2"/>
    <s v="S00411"/>
    <x v="54"/>
    <x v="7"/>
    <x v="141"/>
    <n v="577"/>
    <n v="175"/>
    <x v="5"/>
    <n v="354"/>
    <n v="1"/>
  </r>
  <r>
    <x v="0"/>
    <x v="3"/>
    <s v="S00411"/>
    <x v="105"/>
    <x v="3"/>
    <x v="142"/>
    <n v="784"/>
    <n v="540"/>
    <x v="6"/>
    <n v="805"/>
    <n v="1"/>
  </r>
  <r>
    <x v="0"/>
    <x v="6"/>
    <s v="S00411"/>
    <x v="131"/>
    <x v="7"/>
    <x v="143"/>
    <n v="839"/>
    <n v="334"/>
    <x v="7"/>
    <n v="727"/>
    <n v="1"/>
  </r>
  <r>
    <x v="0"/>
    <x v="3"/>
    <s v="S00411"/>
    <x v="114"/>
    <x v="1"/>
    <x v="144"/>
    <n v="577"/>
    <n v="175"/>
    <x v="8"/>
    <n v="282"/>
    <n v="1"/>
  </r>
  <r>
    <x v="0"/>
    <x v="7"/>
    <s v="S00411"/>
    <x v="146"/>
    <x v="7"/>
    <x v="145"/>
    <n v="287"/>
    <n v="744"/>
    <x v="9"/>
    <n v="1585"/>
    <n v="1"/>
  </r>
  <r>
    <x v="0"/>
    <x v="8"/>
    <s v="S00411"/>
    <x v="85"/>
    <x v="8"/>
    <x v="146"/>
    <n v="568"/>
    <n v="505"/>
    <x v="10"/>
    <n v="1078"/>
    <n v="1"/>
  </r>
  <r>
    <x v="0"/>
    <x v="5"/>
    <s v="S00411"/>
    <x v="147"/>
    <x v="5"/>
    <x v="147"/>
    <n v="168"/>
    <n v="97"/>
    <x v="11"/>
    <n v="171"/>
    <n v="1"/>
  </r>
  <r>
    <x v="0"/>
    <x v="3"/>
    <s v="S00411"/>
    <x v="78"/>
    <x v="2"/>
    <x v="148"/>
    <n v="784"/>
    <n v="540"/>
    <x v="0"/>
    <n v="783"/>
    <n v="1"/>
  </r>
  <r>
    <x v="0"/>
    <x v="5"/>
    <s v="S00411"/>
    <x v="146"/>
    <x v="4"/>
    <x v="149"/>
    <n v="968"/>
    <n v="330"/>
    <x v="1"/>
    <n v="585"/>
    <n v="1"/>
  </r>
  <r>
    <x v="0"/>
    <x v="1"/>
    <s v="S00411"/>
    <x v="44"/>
    <x v="2"/>
    <x v="150"/>
    <n v="872"/>
    <n v="249"/>
    <x v="2"/>
    <n v="347"/>
    <n v="1"/>
  </r>
  <r>
    <x v="0"/>
    <x v="4"/>
    <s v="S00411"/>
    <x v="148"/>
    <x v="2"/>
    <x v="151"/>
    <n v="795"/>
    <n v="469"/>
    <x v="3"/>
    <n v="722"/>
    <n v="1"/>
  </r>
  <r>
    <x v="0"/>
    <x v="3"/>
    <s v="S00411"/>
    <x v="130"/>
    <x v="6"/>
    <x v="151"/>
    <n v="872"/>
    <n v="249"/>
    <x v="4"/>
    <n v="573"/>
    <n v="1"/>
  </r>
  <r>
    <x v="0"/>
    <x v="5"/>
    <s v="S00411"/>
    <x v="110"/>
    <x v="5"/>
    <x v="152"/>
    <n v="610"/>
    <n v="970"/>
    <x v="5"/>
    <n v="1289"/>
    <n v="1"/>
  </r>
  <r>
    <x v="0"/>
    <x v="1"/>
    <s v="S00411"/>
    <x v="80"/>
    <x v="8"/>
    <x v="153"/>
    <n v="403"/>
    <n v="953"/>
    <x v="6"/>
    <n v="2304"/>
    <n v="1"/>
  </r>
  <r>
    <x v="0"/>
    <x v="7"/>
    <s v="S00411"/>
    <x v="149"/>
    <x v="4"/>
    <x v="154"/>
    <n v="968"/>
    <n v="330"/>
    <x v="7"/>
    <n v="820"/>
    <n v="1"/>
  </r>
  <r>
    <x v="0"/>
    <x v="5"/>
    <s v="S00411"/>
    <x v="150"/>
    <x v="1"/>
    <x v="155"/>
    <n v="839"/>
    <n v="983"/>
    <x v="8"/>
    <n v="1980"/>
    <n v="1"/>
  </r>
  <r>
    <x v="0"/>
    <x v="1"/>
    <s v="S00411"/>
    <x v="71"/>
    <x v="0"/>
    <x v="156"/>
    <n v="168"/>
    <n v="97"/>
    <x v="9"/>
    <n v="138"/>
    <n v="1"/>
  </r>
  <r>
    <x v="0"/>
    <x v="5"/>
    <s v="S00411"/>
    <x v="149"/>
    <x v="8"/>
    <x v="157"/>
    <n v="312"/>
    <n v="983"/>
    <x v="10"/>
    <n v="2055"/>
    <n v="1"/>
  </r>
  <r>
    <x v="0"/>
    <x v="5"/>
    <s v="S00411"/>
    <x v="149"/>
    <x v="8"/>
    <x v="157"/>
    <n v="312"/>
    <n v="983"/>
    <x v="11"/>
    <n v="2130"/>
    <n v="1"/>
  </r>
  <r>
    <x v="0"/>
    <x v="5"/>
    <s v="S00411"/>
    <x v="149"/>
    <x v="8"/>
    <x v="157"/>
    <n v="312"/>
    <n v="983"/>
    <x v="0"/>
    <n v="2020"/>
    <n v="1"/>
  </r>
  <r>
    <x v="0"/>
    <x v="5"/>
    <s v="S00411"/>
    <x v="149"/>
    <x v="8"/>
    <x v="157"/>
    <n v="312"/>
    <n v="983"/>
    <x v="1"/>
    <n v="2067"/>
    <n v="1"/>
  </r>
  <r>
    <x v="0"/>
    <x v="5"/>
    <s v="S00411"/>
    <x v="149"/>
    <x v="8"/>
    <x v="157"/>
    <n v="312"/>
    <n v="983"/>
    <x v="2"/>
    <n v="1462"/>
    <n v="1"/>
  </r>
  <r>
    <x v="0"/>
    <x v="3"/>
    <s v="S00411"/>
    <x v="23"/>
    <x v="0"/>
    <x v="158"/>
    <n v="403"/>
    <n v="953"/>
    <x v="3"/>
    <n v="2088"/>
    <n v="1"/>
  </r>
  <r>
    <x v="0"/>
    <x v="6"/>
    <s v="S00411"/>
    <x v="99"/>
    <x v="8"/>
    <x v="159"/>
    <n v="930"/>
    <n v="563"/>
    <x v="4"/>
    <n v="1214"/>
    <n v="1"/>
  </r>
  <r>
    <x v="0"/>
    <x v="3"/>
    <s v="S00411"/>
    <x v="96"/>
    <x v="3"/>
    <x v="160"/>
    <n v="568"/>
    <n v="505"/>
    <x v="5"/>
    <n v="1144"/>
    <n v="1"/>
  </r>
  <r>
    <x v="0"/>
    <x v="5"/>
    <s v="S00411"/>
    <x v="151"/>
    <x v="5"/>
    <x v="161"/>
    <n v="168"/>
    <n v="97"/>
    <x v="6"/>
    <n v="111"/>
    <n v="1"/>
  </r>
  <r>
    <x v="0"/>
    <x v="3"/>
    <s v="S00411"/>
    <x v="150"/>
    <x v="1"/>
    <x v="162"/>
    <n v="568"/>
    <n v="505"/>
    <x v="7"/>
    <n v="1112"/>
    <n v="1"/>
  </r>
  <r>
    <x v="0"/>
    <x v="7"/>
    <s v="S00411"/>
    <x v="152"/>
    <x v="3"/>
    <x v="163"/>
    <n v="839"/>
    <n v="983"/>
    <x v="8"/>
    <n v="2047"/>
    <n v="1"/>
  </r>
  <r>
    <x v="0"/>
    <x v="2"/>
    <s v="S00411"/>
    <x v="145"/>
    <x v="6"/>
    <x v="164"/>
    <n v="597"/>
    <n v="287"/>
    <x v="9"/>
    <n v="660"/>
    <n v="1"/>
  </r>
  <r>
    <x v="0"/>
    <x v="2"/>
    <s v="S00411"/>
    <x v="153"/>
    <x v="6"/>
    <x v="165"/>
    <n v="312"/>
    <n v="983"/>
    <x v="10"/>
    <n v="2415"/>
    <n v="1"/>
  </r>
  <r>
    <x v="0"/>
    <x v="0"/>
    <s v="S00411"/>
    <x v="154"/>
    <x v="6"/>
    <x v="166"/>
    <n v="577"/>
    <n v="175"/>
    <x v="11"/>
    <n v="359"/>
    <n v="1"/>
  </r>
  <r>
    <x v="0"/>
    <x v="7"/>
    <s v="S00411"/>
    <x v="85"/>
    <x v="2"/>
    <x v="167"/>
    <n v="795"/>
    <n v="469"/>
    <x v="0"/>
    <n v="1052"/>
    <n v="1"/>
  </r>
  <r>
    <x v="0"/>
    <x v="9"/>
    <s v="S00411"/>
    <x v="63"/>
    <x v="5"/>
    <x v="167"/>
    <n v="168"/>
    <n v="97"/>
    <x v="1"/>
    <n v="239"/>
    <n v="1"/>
  </r>
  <r>
    <x v="0"/>
    <x v="6"/>
    <s v="S00411"/>
    <x v="148"/>
    <x v="5"/>
    <x v="167"/>
    <n v="872"/>
    <n v="249"/>
    <x v="2"/>
    <n v="462"/>
    <n v="1"/>
  </r>
  <r>
    <x v="0"/>
    <x v="9"/>
    <s v="S00411"/>
    <x v="23"/>
    <x v="5"/>
    <x v="167"/>
    <n v="210"/>
    <n v="177"/>
    <x v="3"/>
    <n v="237"/>
    <n v="1"/>
  </r>
  <r>
    <x v="0"/>
    <x v="0"/>
    <s v="S00411"/>
    <x v="78"/>
    <x v="6"/>
    <x v="167"/>
    <n v="872"/>
    <n v="249"/>
    <x v="4"/>
    <n v="320"/>
    <n v="1"/>
  </r>
  <r>
    <x v="0"/>
    <x v="7"/>
    <s v="S00411"/>
    <x v="131"/>
    <x v="6"/>
    <x v="167"/>
    <n v="568"/>
    <n v="505"/>
    <x v="5"/>
    <n v="953"/>
    <n v="1"/>
  </r>
  <r>
    <x v="0"/>
    <x v="3"/>
    <s v="S00411"/>
    <x v="153"/>
    <x v="6"/>
    <x v="167"/>
    <n v="930"/>
    <n v="563"/>
    <x v="6"/>
    <n v="1197"/>
    <n v="1"/>
  </r>
  <r>
    <x v="0"/>
    <x v="4"/>
    <s v="S00411"/>
    <x v="154"/>
    <x v="6"/>
    <x v="167"/>
    <n v="872"/>
    <n v="249"/>
    <x v="7"/>
    <n v="419"/>
    <n v="1"/>
  </r>
  <r>
    <x v="0"/>
    <x v="9"/>
    <s v="S00411"/>
    <x v="114"/>
    <x v="4"/>
    <x v="167"/>
    <n v="93"/>
    <n v="852"/>
    <x v="8"/>
    <n v="1330"/>
    <n v="1"/>
  </r>
  <r>
    <x v="0"/>
    <x v="7"/>
    <s v="S00411"/>
    <x v="106"/>
    <x v="4"/>
    <x v="167"/>
    <n v="93"/>
    <n v="852"/>
    <x v="9"/>
    <n v="1652"/>
    <n v="1"/>
  </r>
  <r>
    <x v="0"/>
    <x v="7"/>
    <s v="S00411"/>
    <x v="110"/>
    <x v="4"/>
    <x v="167"/>
    <n v="168"/>
    <n v="97"/>
    <x v="10"/>
    <n v="135"/>
    <n v="1"/>
  </r>
  <r>
    <x v="0"/>
    <x v="3"/>
    <s v="S00411"/>
    <x v="80"/>
    <x v="4"/>
    <x v="167"/>
    <n v="403"/>
    <n v="953"/>
    <x v="11"/>
    <n v="1894"/>
    <n v="1"/>
  </r>
  <r>
    <x v="0"/>
    <x v="0"/>
    <s v="S00411"/>
    <x v="130"/>
    <x v="1"/>
    <x v="167"/>
    <n v="577"/>
    <n v="175"/>
    <x v="0"/>
    <n v="247"/>
    <n v="1"/>
  </r>
  <r>
    <x v="0"/>
    <x v="1"/>
    <s v="S00411"/>
    <x v="146"/>
    <x v="1"/>
    <x v="167"/>
    <n v="610"/>
    <n v="970"/>
    <x v="1"/>
    <n v="1929"/>
    <n v="1"/>
  </r>
  <r>
    <x v="0"/>
    <x v="4"/>
    <s v="S00411"/>
    <x v="152"/>
    <x v="1"/>
    <x v="167"/>
    <n v="577"/>
    <n v="175"/>
    <x v="2"/>
    <n v="317"/>
    <n v="1"/>
  </r>
  <r>
    <x v="0"/>
    <x v="7"/>
    <s v="S00411"/>
    <x v="71"/>
    <x v="7"/>
    <x v="167"/>
    <n v="210"/>
    <n v="177"/>
    <x v="3"/>
    <n v="425"/>
    <n v="1"/>
  </r>
  <r>
    <x v="0"/>
    <x v="3"/>
    <s v="S00411"/>
    <x v="149"/>
    <x v="3"/>
    <x v="167"/>
    <n v="403"/>
    <n v="953"/>
    <x v="4"/>
    <n v="1840"/>
    <n v="1"/>
  </r>
  <r>
    <x v="0"/>
    <x v="9"/>
    <s v="S00411"/>
    <x v="99"/>
    <x v="3"/>
    <x v="167"/>
    <n v="610"/>
    <n v="970"/>
    <x v="5"/>
    <n v="1246"/>
    <n v="1"/>
  </r>
  <r>
    <x v="0"/>
    <x v="1"/>
    <s v="S00411"/>
    <x v="155"/>
    <x v="3"/>
    <x v="167"/>
    <n v="839"/>
    <n v="334"/>
    <x v="6"/>
    <n v="717"/>
    <n v="1"/>
  </r>
  <r>
    <x v="0"/>
    <x v="3"/>
    <s v="S00411"/>
    <x v="44"/>
    <x v="3"/>
    <x v="167"/>
    <n v="839"/>
    <n v="334"/>
    <x v="7"/>
    <n v="711"/>
    <n v="1"/>
  </r>
  <r>
    <x v="0"/>
    <x v="3"/>
    <s v="S00411"/>
    <x v="135"/>
    <x v="8"/>
    <x v="167"/>
    <n v="312"/>
    <n v="983"/>
    <x v="8"/>
    <n v="1731"/>
    <n v="1"/>
  </r>
  <r>
    <x v="0"/>
    <x v="2"/>
    <s v="S00411"/>
    <x v="96"/>
    <x v="8"/>
    <x v="167"/>
    <n v="577"/>
    <n v="175"/>
    <x v="9"/>
    <n v="293"/>
    <n v="1"/>
  </r>
  <r>
    <x v="0"/>
    <x v="8"/>
    <s v="S00411"/>
    <x v="147"/>
    <x v="2"/>
    <x v="168"/>
    <n v="839"/>
    <n v="334"/>
    <x v="10"/>
    <n v="632"/>
    <n v="1"/>
  </r>
  <r>
    <x v="0"/>
    <x v="3"/>
    <s v="S00411"/>
    <x v="151"/>
    <x v="3"/>
    <x v="169"/>
    <n v="930"/>
    <n v="563"/>
    <x v="11"/>
    <n v="1001"/>
    <n v="1"/>
  </r>
  <r>
    <x v="1"/>
    <x v="7"/>
    <s v="S00411"/>
    <x v="90"/>
    <x v="4"/>
    <x v="170"/>
    <n v="312"/>
    <n v="983"/>
    <x v="0"/>
    <n v="1704"/>
    <n v="1"/>
  </r>
  <r>
    <x v="1"/>
    <x v="4"/>
    <s v="S00411"/>
    <x v="74"/>
    <x v="2"/>
    <x v="171"/>
    <n v="312"/>
    <n v="983"/>
    <x v="1"/>
    <n v="1475"/>
    <n v="1"/>
  </r>
  <r>
    <x v="1"/>
    <x v="1"/>
    <s v="S00411"/>
    <x v="156"/>
    <x v="6"/>
    <x v="172"/>
    <n v="872"/>
    <n v="249"/>
    <x v="2"/>
    <n v="517"/>
    <n v="1"/>
  </r>
  <r>
    <x v="1"/>
    <x v="4"/>
    <s v="S00411"/>
    <x v="157"/>
    <x v="4"/>
    <x v="173"/>
    <n v="968"/>
    <n v="330"/>
    <x v="3"/>
    <n v="629"/>
    <n v="1"/>
  </r>
  <r>
    <x v="1"/>
    <x v="1"/>
    <s v="S00411"/>
    <x v="158"/>
    <x v="0"/>
    <x v="174"/>
    <n v="930"/>
    <n v="563"/>
    <x v="4"/>
    <n v="938"/>
    <n v="1"/>
  </r>
  <r>
    <x v="1"/>
    <x v="1"/>
    <s v="S00411"/>
    <x v="159"/>
    <x v="0"/>
    <x v="174"/>
    <n v="287"/>
    <n v="744"/>
    <x v="5"/>
    <n v="1527"/>
    <n v="1"/>
  </r>
  <r>
    <x v="1"/>
    <x v="6"/>
    <s v="S00411"/>
    <x v="43"/>
    <x v="0"/>
    <x v="174"/>
    <n v="610"/>
    <n v="970"/>
    <x v="6"/>
    <n v="1188"/>
    <n v="1"/>
  </r>
  <r>
    <x v="1"/>
    <x v="7"/>
    <s v="S00411"/>
    <x v="72"/>
    <x v="0"/>
    <x v="174"/>
    <n v="784"/>
    <n v="540"/>
    <x v="7"/>
    <n v="868"/>
    <n v="1"/>
  </r>
  <r>
    <x v="1"/>
    <x v="2"/>
    <s v="S00411"/>
    <x v="15"/>
    <x v="0"/>
    <x v="174"/>
    <n v="597"/>
    <n v="287"/>
    <x v="8"/>
    <n v="597"/>
    <n v="1"/>
  </r>
  <r>
    <x v="1"/>
    <x v="4"/>
    <s v="S00411"/>
    <x v="66"/>
    <x v="0"/>
    <x v="174"/>
    <n v="784"/>
    <n v="540"/>
    <x v="9"/>
    <n v="1117"/>
    <n v="1"/>
  </r>
  <r>
    <x v="1"/>
    <x v="7"/>
    <s v="S00411"/>
    <x v="82"/>
    <x v="0"/>
    <x v="174"/>
    <n v="93"/>
    <n v="852"/>
    <x v="10"/>
    <n v="1518"/>
    <n v="1"/>
  </r>
  <r>
    <x v="1"/>
    <x v="6"/>
    <s v="S00411"/>
    <x v="132"/>
    <x v="0"/>
    <x v="174"/>
    <n v="930"/>
    <n v="563"/>
    <x v="11"/>
    <n v="913"/>
    <n v="1"/>
  </r>
  <r>
    <x v="1"/>
    <x v="1"/>
    <s v="S00411"/>
    <x v="14"/>
    <x v="0"/>
    <x v="174"/>
    <n v="403"/>
    <n v="953"/>
    <x v="0"/>
    <n v="1438"/>
    <n v="1"/>
  </r>
  <r>
    <x v="1"/>
    <x v="6"/>
    <s v="S00411"/>
    <x v="160"/>
    <x v="0"/>
    <x v="174"/>
    <n v="403"/>
    <n v="953"/>
    <x v="1"/>
    <n v="1317"/>
    <n v="1"/>
  </r>
  <r>
    <x v="1"/>
    <x v="5"/>
    <s v="S00411"/>
    <x v="48"/>
    <x v="0"/>
    <x v="174"/>
    <n v="577"/>
    <n v="175"/>
    <x v="2"/>
    <n v="329"/>
    <n v="1"/>
  </r>
  <r>
    <x v="1"/>
    <x v="2"/>
    <s v="S00411"/>
    <x v="131"/>
    <x v="0"/>
    <x v="174"/>
    <n v="403"/>
    <n v="953"/>
    <x v="3"/>
    <n v="1175"/>
    <n v="1"/>
  </r>
  <r>
    <x v="1"/>
    <x v="2"/>
    <s v="S00411"/>
    <x v="44"/>
    <x v="0"/>
    <x v="174"/>
    <n v="692"/>
    <n v="300"/>
    <x v="4"/>
    <n v="638"/>
    <n v="1"/>
  </r>
  <r>
    <x v="1"/>
    <x v="2"/>
    <s v="S00411"/>
    <x v="21"/>
    <x v="0"/>
    <x v="174"/>
    <n v="930"/>
    <n v="563"/>
    <x v="5"/>
    <n v="1020"/>
    <n v="1"/>
  </r>
  <r>
    <x v="1"/>
    <x v="2"/>
    <s v="S00411"/>
    <x v="24"/>
    <x v="0"/>
    <x v="174"/>
    <n v="210"/>
    <n v="177"/>
    <x v="6"/>
    <n v="311"/>
    <n v="1"/>
  </r>
  <r>
    <x v="1"/>
    <x v="1"/>
    <s v="S00411"/>
    <x v="161"/>
    <x v="0"/>
    <x v="174"/>
    <n v="968"/>
    <n v="330"/>
    <x v="7"/>
    <n v="485"/>
    <n v="1"/>
  </r>
  <r>
    <x v="1"/>
    <x v="1"/>
    <s v="S00411"/>
    <x v="134"/>
    <x v="0"/>
    <x v="174"/>
    <n v="403"/>
    <n v="953"/>
    <x v="8"/>
    <n v="1495"/>
    <n v="1"/>
  </r>
  <r>
    <x v="1"/>
    <x v="4"/>
    <s v="S00411"/>
    <x v="144"/>
    <x v="0"/>
    <x v="174"/>
    <n v="93"/>
    <n v="852"/>
    <x v="9"/>
    <n v="1821"/>
    <n v="1"/>
  </r>
  <r>
    <x v="1"/>
    <x v="5"/>
    <s v="S00411"/>
    <x v="0"/>
    <x v="0"/>
    <x v="174"/>
    <n v="577"/>
    <n v="175"/>
    <x v="10"/>
    <n v="319"/>
    <n v="1"/>
  </r>
  <r>
    <x v="1"/>
    <x v="5"/>
    <s v="S00411"/>
    <x v="61"/>
    <x v="0"/>
    <x v="174"/>
    <n v="403"/>
    <n v="953"/>
    <x v="11"/>
    <n v="1758"/>
    <n v="1"/>
  </r>
  <r>
    <x v="1"/>
    <x v="3"/>
    <s v="S00411"/>
    <x v="10"/>
    <x v="6"/>
    <x v="175"/>
    <n v="839"/>
    <n v="334"/>
    <x v="0"/>
    <n v="477"/>
    <n v="1"/>
  </r>
  <r>
    <x v="1"/>
    <x v="0"/>
    <s v="S00411"/>
    <x v="162"/>
    <x v="5"/>
    <x v="176"/>
    <n v="312"/>
    <n v="983"/>
    <x v="1"/>
    <n v="1314"/>
    <n v="1"/>
  </r>
  <r>
    <x v="1"/>
    <x v="8"/>
    <s v="S00411"/>
    <x v="75"/>
    <x v="8"/>
    <x v="177"/>
    <n v="784"/>
    <n v="540"/>
    <x v="2"/>
    <n v="1081"/>
    <n v="1"/>
  </r>
  <r>
    <x v="1"/>
    <x v="1"/>
    <s v="S00411"/>
    <x v="120"/>
    <x v="6"/>
    <x v="178"/>
    <n v="403"/>
    <n v="953"/>
    <x v="3"/>
    <n v="1583"/>
    <n v="1"/>
  </r>
  <r>
    <x v="1"/>
    <x v="0"/>
    <s v="S00411"/>
    <x v="40"/>
    <x v="1"/>
    <x v="179"/>
    <n v="210"/>
    <n v="177"/>
    <x v="4"/>
    <n v="245"/>
    <n v="1"/>
  </r>
  <r>
    <x v="1"/>
    <x v="7"/>
    <s v="S00411"/>
    <x v="80"/>
    <x v="7"/>
    <x v="180"/>
    <n v="839"/>
    <n v="983"/>
    <x v="5"/>
    <n v="2046"/>
    <n v="1"/>
  </r>
  <r>
    <x v="1"/>
    <x v="2"/>
    <s v="S00411"/>
    <x v="12"/>
    <x v="2"/>
    <x v="181"/>
    <n v="795"/>
    <n v="469"/>
    <x v="6"/>
    <n v="1161"/>
    <n v="1"/>
  </r>
  <r>
    <x v="1"/>
    <x v="5"/>
    <s v="S00411"/>
    <x v="123"/>
    <x v="5"/>
    <x v="182"/>
    <n v="930"/>
    <n v="563"/>
    <x v="7"/>
    <n v="724"/>
    <n v="1"/>
  </r>
  <r>
    <x v="1"/>
    <x v="6"/>
    <s v="S00411"/>
    <x v="163"/>
    <x v="5"/>
    <x v="183"/>
    <n v="413"/>
    <n v="930"/>
    <x v="8"/>
    <n v="2085"/>
    <n v="1"/>
  </r>
  <r>
    <x v="1"/>
    <x v="6"/>
    <s v="S00411"/>
    <x v="138"/>
    <x v="5"/>
    <x v="184"/>
    <n v="168"/>
    <n v="97"/>
    <x v="9"/>
    <n v="132"/>
    <n v="1"/>
  </r>
  <r>
    <x v="1"/>
    <x v="1"/>
    <s v="S00411"/>
    <x v="59"/>
    <x v="2"/>
    <x v="185"/>
    <n v="930"/>
    <n v="563"/>
    <x v="10"/>
    <n v="997"/>
    <n v="1"/>
  </r>
  <r>
    <x v="1"/>
    <x v="6"/>
    <s v="S00411"/>
    <x v="1"/>
    <x v="5"/>
    <x v="186"/>
    <n v="692"/>
    <n v="300"/>
    <x v="11"/>
    <n v="378"/>
    <n v="1"/>
  </r>
  <r>
    <x v="1"/>
    <x v="9"/>
    <s v="S00411"/>
    <x v="16"/>
    <x v="3"/>
    <x v="187"/>
    <n v="692"/>
    <n v="300"/>
    <x v="0"/>
    <n v="605"/>
    <n v="1"/>
  </r>
  <r>
    <x v="1"/>
    <x v="2"/>
    <s v="S00411"/>
    <x v="17"/>
    <x v="7"/>
    <x v="188"/>
    <n v="287"/>
    <n v="744"/>
    <x v="1"/>
    <n v="1361"/>
    <n v="1"/>
  </r>
  <r>
    <x v="1"/>
    <x v="2"/>
    <s v="S00411"/>
    <x v="70"/>
    <x v="7"/>
    <x v="189"/>
    <n v="210"/>
    <n v="177"/>
    <x v="2"/>
    <n v="438"/>
    <n v="1"/>
  </r>
  <r>
    <x v="1"/>
    <x v="7"/>
    <s v="S00411"/>
    <x v="133"/>
    <x v="7"/>
    <x v="190"/>
    <n v="839"/>
    <n v="334"/>
    <x v="3"/>
    <n v="516"/>
    <n v="1"/>
  </r>
  <r>
    <x v="1"/>
    <x v="0"/>
    <s v="S00411"/>
    <x v="69"/>
    <x v="3"/>
    <x v="191"/>
    <n v="568"/>
    <n v="505"/>
    <x v="4"/>
    <n v="1192"/>
    <n v="1"/>
  </r>
  <r>
    <x v="1"/>
    <x v="2"/>
    <s v="S00411"/>
    <x v="19"/>
    <x v="7"/>
    <x v="192"/>
    <n v="287"/>
    <n v="744"/>
    <x v="5"/>
    <n v="966"/>
    <n v="1"/>
  </r>
  <r>
    <x v="1"/>
    <x v="6"/>
    <s v="S00411"/>
    <x v="7"/>
    <x v="4"/>
    <x v="193"/>
    <n v="610"/>
    <n v="970"/>
    <x v="6"/>
    <n v="1593"/>
    <n v="1"/>
  </r>
  <r>
    <x v="1"/>
    <x v="8"/>
    <s v="S00411"/>
    <x v="22"/>
    <x v="1"/>
    <x v="194"/>
    <n v="577"/>
    <n v="175"/>
    <x v="7"/>
    <n v="392"/>
    <n v="1"/>
  </r>
  <r>
    <x v="1"/>
    <x v="4"/>
    <s v="S00411"/>
    <x v="108"/>
    <x v="3"/>
    <x v="195"/>
    <n v="795"/>
    <n v="469"/>
    <x v="8"/>
    <n v="937"/>
    <n v="1"/>
  </r>
  <r>
    <x v="1"/>
    <x v="0"/>
    <s v="S00411"/>
    <x v="164"/>
    <x v="2"/>
    <x v="196"/>
    <n v="749"/>
    <n v="648"/>
    <x v="9"/>
    <n v="1499"/>
    <n v="1"/>
  </r>
  <r>
    <x v="1"/>
    <x v="6"/>
    <s v="S00411"/>
    <x v="130"/>
    <x v="4"/>
    <x v="197"/>
    <n v="287"/>
    <n v="744"/>
    <x v="10"/>
    <n v="1236"/>
    <n v="1"/>
  </r>
  <r>
    <x v="1"/>
    <x v="7"/>
    <s v="S00411"/>
    <x v="49"/>
    <x v="6"/>
    <x v="198"/>
    <n v="968"/>
    <n v="330"/>
    <x v="11"/>
    <n v="364"/>
    <n v="1"/>
  </r>
  <r>
    <x v="1"/>
    <x v="7"/>
    <s v="S00411"/>
    <x v="27"/>
    <x v="3"/>
    <x v="199"/>
    <n v="784"/>
    <n v="540"/>
    <x v="0"/>
    <n v="1310"/>
    <n v="1"/>
  </r>
  <r>
    <x v="1"/>
    <x v="7"/>
    <s v="S00411"/>
    <x v="98"/>
    <x v="3"/>
    <x v="200"/>
    <n v="968"/>
    <n v="330"/>
    <x v="1"/>
    <n v="427"/>
    <n v="1"/>
  </r>
  <r>
    <x v="1"/>
    <x v="7"/>
    <s v="S00411"/>
    <x v="2"/>
    <x v="1"/>
    <x v="201"/>
    <n v="413"/>
    <n v="930"/>
    <x v="2"/>
    <n v="2041"/>
    <n v="1"/>
  </r>
  <r>
    <x v="1"/>
    <x v="9"/>
    <s v="S00411"/>
    <x v="20"/>
    <x v="5"/>
    <x v="202"/>
    <n v="168"/>
    <n v="97"/>
    <x v="3"/>
    <n v="120"/>
    <n v="1"/>
  </r>
  <r>
    <x v="1"/>
    <x v="0"/>
    <s v="S00411"/>
    <x v="30"/>
    <x v="4"/>
    <x v="203"/>
    <n v="403"/>
    <n v="953"/>
    <x v="4"/>
    <n v="2119"/>
    <n v="1"/>
  </r>
  <r>
    <x v="1"/>
    <x v="6"/>
    <s v="S00411"/>
    <x v="146"/>
    <x v="2"/>
    <x v="204"/>
    <n v="610"/>
    <n v="970"/>
    <x v="5"/>
    <n v="1114"/>
    <n v="1"/>
  </r>
  <r>
    <x v="1"/>
    <x v="0"/>
    <s v="S00411"/>
    <x v="31"/>
    <x v="3"/>
    <x v="205"/>
    <n v="287"/>
    <n v="744"/>
    <x v="6"/>
    <n v="1532"/>
    <n v="1"/>
  </r>
  <r>
    <x v="1"/>
    <x v="6"/>
    <s v="S00411"/>
    <x v="107"/>
    <x v="4"/>
    <x v="206"/>
    <n v="287"/>
    <n v="744"/>
    <x v="7"/>
    <n v="1052"/>
    <n v="1"/>
  </r>
  <r>
    <x v="1"/>
    <x v="4"/>
    <s v="S00411"/>
    <x v="33"/>
    <x v="6"/>
    <x v="207"/>
    <n v="784"/>
    <n v="540"/>
    <x v="8"/>
    <n v="984"/>
    <n v="1"/>
  </r>
  <r>
    <x v="1"/>
    <x v="2"/>
    <s v="S00411"/>
    <x v="65"/>
    <x v="6"/>
    <x v="208"/>
    <n v="597"/>
    <n v="287"/>
    <x v="9"/>
    <n v="661"/>
    <n v="1"/>
  </r>
  <r>
    <x v="1"/>
    <x v="9"/>
    <s v="S00411"/>
    <x v="34"/>
    <x v="4"/>
    <x v="209"/>
    <n v="749"/>
    <n v="648"/>
    <x v="10"/>
    <n v="1032"/>
    <n v="1"/>
  </r>
  <r>
    <x v="1"/>
    <x v="0"/>
    <s v="S00411"/>
    <x v="35"/>
    <x v="1"/>
    <x v="210"/>
    <n v="839"/>
    <n v="983"/>
    <x v="11"/>
    <n v="2195"/>
    <n v="1"/>
  </r>
  <r>
    <x v="1"/>
    <x v="4"/>
    <s v="S00411"/>
    <x v="119"/>
    <x v="6"/>
    <x v="211"/>
    <n v="968"/>
    <n v="330"/>
    <x v="0"/>
    <n v="716"/>
    <n v="1"/>
  </r>
  <r>
    <x v="1"/>
    <x v="0"/>
    <s v="S00411"/>
    <x v="106"/>
    <x v="4"/>
    <x v="211"/>
    <n v="93"/>
    <n v="852"/>
    <x v="1"/>
    <n v="2011"/>
    <n v="1"/>
  </r>
  <r>
    <x v="1"/>
    <x v="9"/>
    <s v="S00411"/>
    <x v="42"/>
    <x v="3"/>
    <x v="212"/>
    <n v="692"/>
    <n v="300"/>
    <x v="2"/>
    <n v="430"/>
    <n v="1"/>
  </r>
  <r>
    <x v="1"/>
    <x v="5"/>
    <s v="S00411"/>
    <x v="165"/>
    <x v="4"/>
    <x v="213"/>
    <n v="312"/>
    <n v="983"/>
    <x v="3"/>
    <n v="2229"/>
    <n v="1"/>
  </r>
  <r>
    <x v="1"/>
    <x v="1"/>
    <s v="S00411"/>
    <x v="45"/>
    <x v="3"/>
    <x v="213"/>
    <n v="93"/>
    <n v="852"/>
    <x v="4"/>
    <n v="1616"/>
    <n v="1"/>
  </r>
  <r>
    <x v="1"/>
    <x v="7"/>
    <s v="S00411"/>
    <x v="50"/>
    <x v="4"/>
    <x v="214"/>
    <n v="968"/>
    <n v="330"/>
    <x v="5"/>
    <n v="715"/>
    <n v="1"/>
  </r>
  <r>
    <x v="1"/>
    <x v="8"/>
    <s v="S00411"/>
    <x v="57"/>
    <x v="5"/>
    <x v="215"/>
    <n v="749"/>
    <n v="648"/>
    <x v="6"/>
    <n v="1310"/>
    <n v="1"/>
  </r>
  <r>
    <x v="1"/>
    <x v="6"/>
    <s v="S00411"/>
    <x v="63"/>
    <x v="6"/>
    <x v="216"/>
    <n v="413"/>
    <n v="930"/>
    <x v="7"/>
    <n v="1624"/>
    <n v="1"/>
  </r>
  <r>
    <x v="1"/>
    <x v="6"/>
    <s v="S00411"/>
    <x v="143"/>
    <x v="8"/>
    <x v="217"/>
    <n v="930"/>
    <n v="563"/>
    <x v="8"/>
    <n v="1281"/>
    <n v="1"/>
  </r>
  <r>
    <x v="1"/>
    <x v="1"/>
    <s v="S00411"/>
    <x v="58"/>
    <x v="6"/>
    <x v="218"/>
    <n v="168"/>
    <n v="97"/>
    <x v="9"/>
    <n v="111"/>
    <n v="1"/>
  </r>
  <r>
    <x v="1"/>
    <x v="7"/>
    <s v="S00411"/>
    <x v="47"/>
    <x v="2"/>
    <x v="219"/>
    <n v="93"/>
    <n v="852"/>
    <x v="10"/>
    <n v="1292"/>
    <n v="1"/>
  </r>
  <r>
    <x v="1"/>
    <x v="7"/>
    <s v="S00411"/>
    <x v="51"/>
    <x v="6"/>
    <x v="220"/>
    <n v="839"/>
    <n v="334"/>
    <x v="11"/>
    <n v="510"/>
    <n v="1"/>
  </r>
  <r>
    <x v="1"/>
    <x v="7"/>
    <s v="S00411"/>
    <x v="41"/>
    <x v="3"/>
    <x v="220"/>
    <n v="968"/>
    <n v="330"/>
    <x v="0"/>
    <n v="600"/>
    <n v="1"/>
  </r>
  <r>
    <x v="1"/>
    <x v="4"/>
    <s v="S00411"/>
    <x v="76"/>
    <x v="0"/>
    <x v="220"/>
    <n v="210"/>
    <n v="177"/>
    <x v="1"/>
    <n v="396"/>
    <n v="1"/>
  </r>
  <r>
    <x v="1"/>
    <x v="7"/>
    <s v="S00411"/>
    <x v="81"/>
    <x v="0"/>
    <x v="221"/>
    <n v="839"/>
    <n v="334"/>
    <x v="2"/>
    <n v="442"/>
    <n v="1"/>
  </r>
  <r>
    <x v="1"/>
    <x v="4"/>
    <s v="S00411"/>
    <x v="56"/>
    <x v="6"/>
    <x v="222"/>
    <n v="784"/>
    <n v="540"/>
    <x v="3"/>
    <n v="740"/>
    <n v="1"/>
  </r>
  <r>
    <x v="1"/>
    <x v="4"/>
    <s v="S00411"/>
    <x v="148"/>
    <x v="2"/>
    <x v="223"/>
    <n v="312"/>
    <n v="983"/>
    <x v="4"/>
    <n v="1395"/>
    <n v="1"/>
  </r>
  <r>
    <x v="1"/>
    <x v="5"/>
    <s v="S00411"/>
    <x v="166"/>
    <x v="3"/>
    <x v="224"/>
    <n v="784"/>
    <n v="540"/>
    <x v="5"/>
    <n v="1153"/>
    <n v="1"/>
  </r>
  <r>
    <x v="1"/>
    <x v="1"/>
    <s v="S00411"/>
    <x v="110"/>
    <x v="6"/>
    <x v="225"/>
    <n v="872"/>
    <n v="249"/>
    <x v="6"/>
    <n v="453"/>
    <n v="1"/>
  </r>
  <r>
    <x v="1"/>
    <x v="7"/>
    <s v="S00411"/>
    <x v="78"/>
    <x v="2"/>
    <x v="226"/>
    <n v="413"/>
    <n v="930"/>
    <x v="7"/>
    <n v="1805"/>
    <n v="1"/>
  </r>
  <r>
    <x v="1"/>
    <x v="6"/>
    <s v="S00411"/>
    <x v="167"/>
    <x v="2"/>
    <x v="227"/>
    <n v="795"/>
    <n v="469"/>
    <x v="8"/>
    <n v="782"/>
    <n v="1"/>
  </r>
  <r>
    <x v="1"/>
    <x v="1"/>
    <s v="S00411"/>
    <x v="127"/>
    <x v="5"/>
    <x v="228"/>
    <n v="930"/>
    <n v="563"/>
    <x v="9"/>
    <n v="1220"/>
    <n v="1"/>
  </r>
  <r>
    <x v="1"/>
    <x v="9"/>
    <s v="S00411"/>
    <x v="101"/>
    <x v="4"/>
    <x v="229"/>
    <n v="403"/>
    <n v="953"/>
    <x v="10"/>
    <n v="1224"/>
    <n v="1"/>
  </r>
  <r>
    <x v="1"/>
    <x v="3"/>
    <s v="S00411"/>
    <x v="38"/>
    <x v="6"/>
    <x v="230"/>
    <n v="597"/>
    <n v="287"/>
    <x v="11"/>
    <n v="434"/>
    <n v="1"/>
  </r>
  <r>
    <x v="1"/>
    <x v="5"/>
    <s v="S00411"/>
    <x v="168"/>
    <x v="1"/>
    <x v="231"/>
    <n v="597"/>
    <n v="287"/>
    <x v="0"/>
    <n v="643"/>
    <n v="1"/>
  </r>
  <r>
    <x v="1"/>
    <x v="7"/>
    <s v="S00411"/>
    <x v="67"/>
    <x v="8"/>
    <x v="232"/>
    <n v="568"/>
    <n v="505"/>
    <x v="1"/>
    <n v="560"/>
    <n v="1"/>
  </r>
  <r>
    <x v="1"/>
    <x v="6"/>
    <s v="S00411"/>
    <x v="169"/>
    <x v="2"/>
    <x v="233"/>
    <n v="568"/>
    <n v="505"/>
    <x v="2"/>
    <n v="1131"/>
    <n v="1"/>
  </r>
  <r>
    <x v="1"/>
    <x v="9"/>
    <s v="S00411"/>
    <x v="99"/>
    <x v="5"/>
    <x v="234"/>
    <n v="168"/>
    <n v="97"/>
    <x v="3"/>
    <n v="225"/>
    <n v="1"/>
  </r>
  <r>
    <x v="1"/>
    <x v="7"/>
    <s v="S00411"/>
    <x v="25"/>
    <x v="4"/>
    <x v="234"/>
    <n v="839"/>
    <n v="983"/>
    <x v="4"/>
    <n v="1522"/>
    <n v="1"/>
  </r>
  <r>
    <x v="1"/>
    <x v="7"/>
    <s v="S00411"/>
    <x v="95"/>
    <x v="3"/>
    <x v="235"/>
    <n v="839"/>
    <n v="334"/>
    <x v="5"/>
    <n v="790"/>
    <n v="1"/>
  </r>
  <r>
    <x v="1"/>
    <x v="5"/>
    <s v="S00411"/>
    <x v="170"/>
    <x v="3"/>
    <x v="236"/>
    <n v="784"/>
    <n v="540"/>
    <x v="6"/>
    <n v="886"/>
    <n v="1"/>
  </r>
  <r>
    <x v="1"/>
    <x v="4"/>
    <s v="S00411"/>
    <x v="5"/>
    <x v="6"/>
    <x v="237"/>
    <n v="784"/>
    <n v="540"/>
    <x v="7"/>
    <n v="919"/>
    <n v="1"/>
  </r>
  <r>
    <x v="1"/>
    <x v="9"/>
    <s v="S00411"/>
    <x v="97"/>
    <x v="4"/>
    <x v="238"/>
    <n v="872"/>
    <n v="249"/>
    <x v="8"/>
    <n v="356"/>
    <n v="1"/>
  </r>
  <r>
    <x v="1"/>
    <x v="1"/>
    <s v="S00411"/>
    <x v="171"/>
    <x v="3"/>
    <x v="238"/>
    <n v="312"/>
    <n v="983"/>
    <x v="9"/>
    <n v="1659"/>
    <n v="1"/>
  </r>
  <r>
    <x v="1"/>
    <x v="3"/>
    <s v="S00411"/>
    <x v="117"/>
    <x v="1"/>
    <x v="239"/>
    <n v="413"/>
    <n v="930"/>
    <x v="10"/>
    <n v="1963"/>
    <n v="1"/>
  </r>
  <r>
    <x v="1"/>
    <x v="8"/>
    <s v="S00411"/>
    <x v="77"/>
    <x v="6"/>
    <x v="240"/>
    <n v="568"/>
    <n v="505"/>
    <x v="11"/>
    <n v="625"/>
    <n v="1"/>
  </r>
  <r>
    <x v="1"/>
    <x v="1"/>
    <s v="S00411"/>
    <x v="172"/>
    <x v="6"/>
    <x v="241"/>
    <n v="168"/>
    <n v="97"/>
    <x v="0"/>
    <n v="139"/>
    <n v="1"/>
  </r>
  <r>
    <x v="1"/>
    <x v="1"/>
    <s v="S00411"/>
    <x v="173"/>
    <x v="1"/>
    <x v="242"/>
    <n v="839"/>
    <n v="334"/>
    <x v="1"/>
    <n v="692"/>
    <n v="1"/>
  </r>
  <r>
    <x v="1"/>
    <x v="0"/>
    <s v="S00411"/>
    <x v="11"/>
    <x v="1"/>
    <x v="243"/>
    <n v="839"/>
    <n v="983"/>
    <x v="2"/>
    <n v="1728"/>
    <n v="1"/>
  </r>
  <r>
    <x v="1"/>
    <x v="5"/>
    <s v="S00411"/>
    <x v="126"/>
    <x v="4"/>
    <x v="244"/>
    <n v="168"/>
    <n v="97"/>
    <x v="3"/>
    <n v="232"/>
    <n v="1"/>
  </r>
  <r>
    <x v="1"/>
    <x v="1"/>
    <s v="S00411"/>
    <x v="174"/>
    <x v="6"/>
    <x v="245"/>
    <n v="168"/>
    <n v="97"/>
    <x v="4"/>
    <n v="215"/>
    <n v="1"/>
  </r>
  <r>
    <x v="1"/>
    <x v="3"/>
    <s v="S00411"/>
    <x v="83"/>
    <x v="6"/>
    <x v="246"/>
    <n v="597"/>
    <n v="287"/>
    <x v="5"/>
    <n v="604"/>
    <n v="1"/>
  </r>
  <r>
    <x v="1"/>
    <x v="4"/>
    <s v="S00411"/>
    <x v="86"/>
    <x v="1"/>
    <x v="247"/>
    <n v="839"/>
    <n v="983"/>
    <x v="6"/>
    <n v="2239"/>
    <n v="1"/>
  </r>
  <r>
    <x v="1"/>
    <x v="1"/>
    <s v="S00411"/>
    <x v="175"/>
    <x v="2"/>
    <x v="248"/>
    <n v="839"/>
    <n v="983"/>
    <x v="7"/>
    <n v="1303"/>
    <n v="1"/>
  </r>
  <r>
    <x v="1"/>
    <x v="2"/>
    <s v="S00411"/>
    <x v="88"/>
    <x v="8"/>
    <x v="249"/>
    <n v="312"/>
    <n v="983"/>
    <x v="8"/>
    <n v="1759"/>
    <n v="1"/>
  </r>
  <r>
    <x v="1"/>
    <x v="0"/>
    <s v="S00411"/>
    <x v="4"/>
    <x v="3"/>
    <x v="250"/>
    <n v="403"/>
    <n v="953"/>
    <x v="9"/>
    <n v="2272"/>
    <n v="1"/>
  </r>
  <r>
    <x v="1"/>
    <x v="7"/>
    <s v="S00411"/>
    <x v="89"/>
    <x v="4"/>
    <x v="251"/>
    <n v="872"/>
    <n v="249"/>
    <x v="10"/>
    <n v="501"/>
    <n v="1"/>
  </r>
  <r>
    <x v="1"/>
    <x v="1"/>
    <s v="S00411"/>
    <x v="176"/>
    <x v="5"/>
    <x v="252"/>
    <n v="795"/>
    <n v="469"/>
    <x v="11"/>
    <n v="974"/>
    <n v="1"/>
  </r>
  <r>
    <x v="1"/>
    <x v="7"/>
    <s v="S00411"/>
    <x v="28"/>
    <x v="5"/>
    <x v="253"/>
    <n v="210"/>
    <n v="177"/>
    <x v="0"/>
    <n v="270"/>
    <n v="1"/>
  </r>
  <r>
    <x v="1"/>
    <x v="1"/>
    <s v="S00411"/>
    <x v="177"/>
    <x v="5"/>
    <x v="254"/>
    <n v="839"/>
    <n v="334"/>
    <x v="1"/>
    <n v="756"/>
    <n v="1"/>
  </r>
  <r>
    <x v="1"/>
    <x v="9"/>
    <s v="S00411"/>
    <x v="145"/>
    <x v="4"/>
    <x v="255"/>
    <n v="692"/>
    <n v="300"/>
    <x v="2"/>
    <n v="708"/>
    <n v="1"/>
  </r>
  <r>
    <x v="1"/>
    <x v="7"/>
    <s v="S00411"/>
    <x v="26"/>
    <x v="1"/>
    <x v="255"/>
    <n v="413"/>
    <n v="930"/>
    <x v="3"/>
    <n v="1070"/>
    <n v="1"/>
  </r>
  <r>
    <x v="1"/>
    <x v="7"/>
    <s v="S00411"/>
    <x v="100"/>
    <x v="5"/>
    <x v="256"/>
    <n v="168"/>
    <n v="97"/>
    <x v="4"/>
    <n v="195"/>
    <n v="1"/>
  </r>
  <r>
    <x v="1"/>
    <x v="7"/>
    <s v="S00411"/>
    <x v="103"/>
    <x v="8"/>
    <x v="257"/>
    <n v="968"/>
    <n v="330"/>
    <x v="5"/>
    <n v="670"/>
    <n v="1"/>
  </r>
  <r>
    <x v="1"/>
    <x v="9"/>
    <s v="S00411"/>
    <x v="104"/>
    <x v="4"/>
    <x v="258"/>
    <n v="839"/>
    <n v="983"/>
    <x v="6"/>
    <n v="1704"/>
    <n v="1"/>
  </r>
  <r>
    <x v="1"/>
    <x v="0"/>
    <s v="S00411"/>
    <x v="129"/>
    <x v="5"/>
    <x v="259"/>
    <n v="93"/>
    <n v="852"/>
    <x v="7"/>
    <n v="1012"/>
    <n v="1"/>
  </r>
  <r>
    <x v="1"/>
    <x v="2"/>
    <s v="S00411"/>
    <x v="84"/>
    <x v="8"/>
    <x v="260"/>
    <n v="577"/>
    <n v="175"/>
    <x v="8"/>
    <n v="343"/>
    <n v="1"/>
  </r>
  <r>
    <x v="1"/>
    <x v="1"/>
    <s v="S00411"/>
    <x v="94"/>
    <x v="0"/>
    <x v="261"/>
    <n v="403"/>
    <n v="953"/>
    <x v="9"/>
    <n v="1665"/>
    <n v="1"/>
  </r>
  <r>
    <x v="1"/>
    <x v="6"/>
    <s v="S00411"/>
    <x v="178"/>
    <x v="1"/>
    <x v="262"/>
    <n v="692"/>
    <n v="300"/>
    <x v="10"/>
    <n v="382"/>
    <n v="1"/>
  </r>
  <r>
    <x v="1"/>
    <x v="5"/>
    <s v="S00411"/>
    <x v="179"/>
    <x v="5"/>
    <x v="263"/>
    <n v="610"/>
    <n v="970"/>
    <x v="11"/>
    <n v="2424"/>
    <n v="1"/>
  </r>
  <r>
    <x v="1"/>
    <x v="4"/>
    <s v="S00411"/>
    <x v="18"/>
    <x v="2"/>
    <x v="264"/>
    <n v="568"/>
    <n v="505"/>
    <x v="0"/>
    <n v="669"/>
    <n v="1"/>
  </r>
  <r>
    <x v="1"/>
    <x v="5"/>
    <s v="S00411"/>
    <x v="180"/>
    <x v="2"/>
    <x v="265"/>
    <n v="577"/>
    <n v="175"/>
    <x v="1"/>
    <n v="200"/>
    <n v="1"/>
  </r>
  <r>
    <x v="1"/>
    <x v="5"/>
    <s v="S00411"/>
    <x v="39"/>
    <x v="7"/>
    <x v="265"/>
    <n v="93"/>
    <n v="852"/>
    <x v="2"/>
    <n v="1800"/>
    <n v="1"/>
  </r>
  <r>
    <x v="1"/>
    <x v="8"/>
    <s v="S00411"/>
    <x v="64"/>
    <x v="6"/>
    <x v="266"/>
    <n v="839"/>
    <n v="983"/>
    <x v="3"/>
    <n v="1188"/>
    <n v="1"/>
  </r>
  <r>
    <x v="1"/>
    <x v="3"/>
    <s v="S00411"/>
    <x v="111"/>
    <x v="1"/>
    <x v="267"/>
    <n v="577"/>
    <n v="175"/>
    <x v="4"/>
    <n v="291"/>
    <n v="1"/>
  </r>
  <r>
    <x v="1"/>
    <x v="1"/>
    <s v="S00411"/>
    <x v="73"/>
    <x v="5"/>
    <x v="268"/>
    <n v="872"/>
    <n v="249"/>
    <x v="5"/>
    <n v="347"/>
    <n v="1"/>
  </r>
  <r>
    <x v="1"/>
    <x v="5"/>
    <s v="S00411"/>
    <x v="52"/>
    <x v="8"/>
    <x v="269"/>
    <n v="568"/>
    <n v="505"/>
    <x v="6"/>
    <n v="683"/>
    <n v="1"/>
  </r>
  <r>
    <x v="1"/>
    <x v="7"/>
    <s v="S00411"/>
    <x v="13"/>
    <x v="2"/>
    <x v="270"/>
    <n v="795"/>
    <n v="469"/>
    <x v="7"/>
    <n v="917"/>
    <n v="1"/>
  </r>
  <r>
    <x v="1"/>
    <x v="2"/>
    <s v="S00411"/>
    <x v="109"/>
    <x v="2"/>
    <x v="271"/>
    <n v="795"/>
    <n v="469"/>
    <x v="8"/>
    <n v="808"/>
    <n v="1"/>
  </r>
  <r>
    <x v="1"/>
    <x v="9"/>
    <s v="S00411"/>
    <x v="9"/>
    <x v="2"/>
    <x v="272"/>
    <n v="610"/>
    <n v="970"/>
    <x v="9"/>
    <n v="1141"/>
    <n v="1"/>
  </r>
  <r>
    <x v="1"/>
    <x v="8"/>
    <s v="S00411"/>
    <x v="150"/>
    <x v="6"/>
    <x v="272"/>
    <n v="287"/>
    <n v="744"/>
    <x v="10"/>
    <n v="993"/>
    <n v="1"/>
  </r>
  <r>
    <x v="1"/>
    <x v="5"/>
    <s v="S00411"/>
    <x v="181"/>
    <x v="4"/>
    <x v="273"/>
    <n v="568"/>
    <n v="505"/>
    <x v="11"/>
    <n v="984"/>
    <n v="1"/>
  </r>
  <r>
    <x v="1"/>
    <x v="7"/>
    <s v="S00411"/>
    <x v="54"/>
    <x v="3"/>
    <x v="274"/>
    <n v="610"/>
    <n v="970"/>
    <x v="0"/>
    <n v="2052"/>
    <n v="1"/>
  </r>
  <r>
    <x v="1"/>
    <x v="4"/>
    <s v="S00411"/>
    <x v="53"/>
    <x v="1"/>
    <x v="275"/>
    <n v="312"/>
    <n v="983"/>
    <x v="1"/>
    <n v="1527"/>
    <n v="1"/>
  </r>
  <r>
    <x v="1"/>
    <x v="6"/>
    <s v="S00411"/>
    <x v="152"/>
    <x v="8"/>
    <x v="276"/>
    <n v="930"/>
    <n v="563"/>
    <x v="2"/>
    <n v="1194"/>
    <n v="1"/>
  </r>
  <r>
    <x v="1"/>
    <x v="8"/>
    <s v="S00411"/>
    <x v="8"/>
    <x v="6"/>
    <x v="277"/>
    <n v="872"/>
    <n v="249"/>
    <x v="3"/>
    <n v="412"/>
    <n v="1"/>
  </r>
  <r>
    <x v="1"/>
    <x v="5"/>
    <s v="S00411"/>
    <x v="112"/>
    <x v="5"/>
    <x v="278"/>
    <n v="872"/>
    <n v="249"/>
    <x v="4"/>
    <n v="329"/>
    <n v="1"/>
  </r>
  <r>
    <x v="1"/>
    <x v="0"/>
    <s v="S00411"/>
    <x v="182"/>
    <x v="3"/>
    <x v="279"/>
    <n v="872"/>
    <n v="249"/>
    <x v="5"/>
    <n v="499"/>
    <n v="1"/>
  </r>
  <r>
    <x v="1"/>
    <x v="7"/>
    <s v="S00411"/>
    <x v="113"/>
    <x v="4"/>
    <x v="280"/>
    <n v="413"/>
    <n v="930"/>
    <x v="6"/>
    <n v="1666"/>
    <n v="1"/>
  </r>
  <r>
    <x v="1"/>
    <x v="7"/>
    <s v="S00411"/>
    <x v="36"/>
    <x v="2"/>
    <x v="281"/>
    <n v="403"/>
    <n v="953"/>
    <x v="7"/>
    <n v="2056"/>
    <n v="1"/>
  </r>
  <r>
    <x v="1"/>
    <x v="0"/>
    <s v="S00411"/>
    <x v="183"/>
    <x v="8"/>
    <x v="282"/>
    <n v="692"/>
    <n v="300"/>
    <x v="8"/>
    <n v="421"/>
    <n v="1"/>
  </r>
  <r>
    <x v="1"/>
    <x v="0"/>
    <s v="S00411"/>
    <x v="115"/>
    <x v="1"/>
    <x v="283"/>
    <n v="839"/>
    <n v="983"/>
    <x v="9"/>
    <n v="1746"/>
    <n v="1"/>
  </r>
  <r>
    <x v="1"/>
    <x v="6"/>
    <s v="S00411"/>
    <x v="116"/>
    <x v="8"/>
    <x v="284"/>
    <n v="930"/>
    <n v="563"/>
    <x v="10"/>
    <n v="1161"/>
    <n v="1"/>
  </r>
  <r>
    <x v="1"/>
    <x v="1"/>
    <s v="S00411"/>
    <x v="118"/>
    <x v="6"/>
    <x v="285"/>
    <n v="872"/>
    <n v="249"/>
    <x v="11"/>
    <n v="376"/>
    <n v="1"/>
  </r>
  <r>
    <x v="1"/>
    <x v="1"/>
    <s v="S00411"/>
    <x v="184"/>
    <x v="2"/>
    <x v="286"/>
    <n v="795"/>
    <n v="469"/>
    <x v="0"/>
    <n v="763"/>
    <n v="1"/>
  </r>
  <r>
    <x v="1"/>
    <x v="7"/>
    <s v="S00411"/>
    <x v="121"/>
    <x v="4"/>
    <x v="287"/>
    <n v="968"/>
    <n v="330"/>
    <x v="1"/>
    <n v="694"/>
    <n v="1"/>
  </r>
  <r>
    <x v="1"/>
    <x v="0"/>
    <s v="S00411"/>
    <x v="122"/>
    <x v="1"/>
    <x v="288"/>
    <n v="839"/>
    <n v="983"/>
    <x v="2"/>
    <n v="1402"/>
    <n v="1"/>
  </r>
  <r>
    <x v="1"/>
    <x v="1"/>
    <s v="S00411"/>
    <x v="185"/>
    <x v="1"/>
    <x v="289"/>
    <n v="872"/>
    <n v="249"/>
    <x v="3"/>
    <n v="465"/>
    <n v="1"/>
  </r>
  <r>
    <x v="1"/>
    <x v="5"/>
    <s v="S00411"/>
    <x v="124"/>
    <x v="4"/>
    <x v="290"/>
    <n v="568"/>
    <n v="505"/>
    <x v="4"/>
    <n v="1159"/>
    <n v="1"/>
  </r>
  <r>
    <x v="1"/>
    <x v="3"/>
    <s v="S00411"/>
    <x v="55"/>
    <x v="1"/>
    <x v="291"/>
    <n v="168"/>
    <n v="97"/>
    <x v="5"/>
    <n v="118"/>
    <n v="1"/>
  </r>
  <r>
    <x v="1"/>
    <x v="3"/>
    <s v="S00411"/>
    <x v="125"/>
    <x v="6"/>
    <x v="292"/>
    <n v="930"/>
    <n v="563"/>
    <x v="6"/>
    <n v="638"/>
    <n v="1"/>
  </r>
  <r>
    <x v="1"/>
    <x v="6"/>
    <s v="S00411"/>
    <x v="186"/>
    <x v="3"/>
    <x v="293"/>
    <n v="610"/>
    <n v="970"/>
    <x v="7"/>
    <n v="1456"/>
    <n v="1"/>
  </r>
  <r>
    <x v="1"/>
    <x v="9"/>
    <s v="S00411"/>
    <x v="71"/>
    <x v="5"/>
    <x v="294"/>
    <n v="872"/>
    <n v="249"/>
    <x v="8"/>
    <n v="428"/>
    <n v="1"/>
  </r>
  <r>
    <x v="1"/>
    <x v="5"/>
    <s v="S00411"/>
    <x v="46"/>
    <x v="5"/>
    <x v="295"/>
    <n v="287"/>
    <n v="744"/>
    <x v="9"/>
    <n v="1459"/>
    <n v="1"/>
  </r>
  <r>
    <x v="1"/>
    <x v="7"/>
    <s v="S00411"/>
    <x v="68"/>
    <x v="1"/>
    <x v="296"/>
    <n v="312"/>
    <n v="983"/>
    <x v="10"/>
    <n v="2045"/>
    <n v="1"/>
  </r>
  <r>
    <x v="1"/>
    <x v="1"/>
    <s v="S00411"/>
    <x v="187"/>
    <x v="8"/>
    <x v="297"/>
    <n v="210"/>
    <n v="177"/>
    <x v="11"/>
    <n v="333"/>
    <n v="1"/>
  </r>
  <r>
    <x v="1"/>
    <x v="5"/>
    <s v="S00411"/>
    <x v="188"/>
    <x v="8"/>
    <x v="298"/>
    <n v="577"/>
    <n v="175"/>
    <x v="0"/>
    <n v="373"/>
    <n v="1"/>
  </r>
  <r>
    <x v="1"/>
    <x v="5"/>
    <s v="S00411"/>
    <x v="189"/>
    <x v="8"/>
    <x v="299"/>
    <n v="210"/>
    <n v="177"/>
    <x v="1"/>
    <n v="401"/>
    <n v="1"/>
  </r>
  <r>
    <x v="1"/>
    <x v="1"/>
    <s v="S00411"/>
    <x v="190"/>
    <x v="3"/>
    <x v="300"/>
    <n v="577"/>
    <n v="175"/>
    <x v="2"/>
    <n v="243"/>
    <n v="1"/>
  </r>
  <r>
    <x v="1"/>
    <x v="6"/>
    <s v="S00411"/>
    <x v="136"/>
    <x v="7"/>
    <x v="301"/>
    <n v="692"/>
    <n v="300"/>
    <x v="3"/>
    <n v="423"/>
    <n v="1"/>
  </r>
  <r>
    <x v="1"/>
    <x v="9"/>
    <s v="S00411"/>
    <x v="137"/>
    <x v="3"/>
    <x v="302"/>
    <n v="692"/>
    <n v="300"/>
    <x v="4"/>
    <n v="717"/>
    <n v="1"/>
  </r>
  <r>
    <x v="1"/>
    <x v="1"/>
    <s v="S00411"/>
    <x v="91"/>
    <x v="4"/>
    <x v="303"/>
    <n v="413"/>
    <n v="930"/>
    <x v="5"/>
    <n v="1327"/>
    <n v="1"/>
  </r>
  <r>
    <x v="1"/>
    <x v="9"/>
    <s v="S00411"/>
    <x v="151"/>
    <x v="5"/>
    <x v="304"/>
    <n v="312"/>
    <n v="983"/>
    <x v="6"/>
    <n v="2100"/>
    <n v="1"/>
  </r>
  <r>
    <x v="1"/>
    <x v="3"/>
    <s v="S00411"/>
    <x v="93"/>
    <x v="1"/>
    <x v="305"/>
    <n v="610"/>
    <n v="970"/>
    <x v="7"/>
    <n v="2083"/>
    <n v="1"/>
  </r>
  <r>
    <x v="1"/>
    <x v="6"/>
    <s v="S00411"/>
    <x v="191"/>
    <x v="3"/>
    <x v="306"/>
    <n v="610"/>
    <n v="970"/>
    <x v="8"/>
    <n v="1393"/>
    <n v="1"/>
  </r>
  <r>
    <x v="1"/>
    <x v="8"/>
    <s v="S00411"/>
    <x v="37"/>
    <x v="1"/>
    <x v="307"/>
    <n v="577"/>
    <n v="175"/>
    <x v="9"/>
    <n v="390"/>
    <n v="1"/>
  </r>
  <r>
    <x v="1"/>
    <x v="5"/>
    <s v="S00411"/>
    <x v="139"/>
    <x v="7"/>
    <x v="308"/>
    <n v="839"/>
    <n v="334"/>
    <x v="10"/>
    <n v="597"/>
    <n v="1"/>
  </r>
  <r>
    <x v="1"/>
    <x v="1"/>
    <s v="S00411"/>
    <x v="192"/>
    <x v="1"/>
    <x v="309"/>
    <n v="930"/>
    <n v="563"/>
    <x v="11"/>
    <n v="1325"/>
    <n v="1"/>
  </r>
  <r>
    <x v="1"/>
    <x v="5"/>
    <s v="S00411"/>
    <x v="79"/>
    <x v="3"/>
    <x v="310"/>
    <n v="784"/>
    <n v="540"/>
    <x v="0"/>
    <n v="1286"/>
    <n v="1"/>
  </r>
  <r>
    <x v="1"/>
    <x v="0"/>
    <s v="S00411"/>
    <x v="193"/>
    <x v="1"/>
    <x v="311"/>
    <n v="93"/>
    <n v="852"/>
    <x v="1"/>
    <n v="1315"/>
    <n v="1"/>
  </r>
  <r>
    <x v="1"/>
    <x v="5"/>
    <s v="S00411"/>
    <x v="194"/>
    <x v="1"/>
    <x v="312"/>
    <n v="784"/>
    <n v="540"/>
    <x v="2"/>
    <n v="1220"/>
    <n v="1"/>
  </r>
  <r>
    <x v="1"/>
    <x v="7"/>
    <s v="S00411"/>
    <x v="195"/>
    <x v="3"/>
    <x v="313"/>
    <n v="210"/>
    <n v="177"/>
    <x v="3"/>
    <n v="336"/>
    <n v="1"/>
  </r>
  <r>
    <x v="1"/>
    <x v="6"/>
    <s v="S00411"/>
    <x v="196"/>
    <x v="2"/>
    <x v="314"/>
    <n v="839"/>
    <n v="983"/>
    <x v="4"/>
    <n v="1633"/>
    <n v="1"/>
  </r>
  <r>
    <x v="1"/>
    <x v="6"/>
    <s v="S00411"/>
    <x v="197"/>
    <x v="4"/>
    <x v="315"/>
    <n v="413"/>
    <n v="930"/>
    <x v="5"/>
    <n v="1382"/>
    <n v="1"/>
  </r>
  <r>
    <x v="1"/>
    <x v="4"/>
    <s v="S00411"/>
    <x v="114"/>
    <x v="1"/>
    <x v="316"/>
    <n v="784"/>
    <n v="540"/>
    <x v="6"/>
    <n v="969"/>
    <n v="1"/>
  </r>
  <r>
    <x v="1"/>
    <x v="3"/>
    <s v="S00411"/>
    <x v="62"/>
    <x v="3"/>
    <x v="316"/>
    <n v="312"/>
    <n v="983"/>
    <x v="7"/>
    <n v="1474"/>
    <n v="1"/>
  </r>
  <r>
    <x v="1"/>
    <x v="1"/>
    <s v="S00411"/>
    <x v="85"/>
    <x v="6"/>
    <x v="317"/>
    <n v="872"/>
    <n v="249"/>
    <x v="8"/>
    <n v="572"/>
    <n v="1"/>
  </r>
  <r>
    <x v="1"/>
    <x v="7"/>
    <s v="S00411"/>
    <x v="3"/>
    <x v="1"/>
    <x v="318"/>
    <n v="210"/>
    <n v="177"/>
    <x v="9"/>
    <n v="367"/>
    <n v="1"/>
  </r>
  <r>
    <x v="1"/>
    <x v="1"/>
    <s v="S00411"/>
    <x v="142"/>
    <x v="7"/>
    <x v="319"/>
    <n v="610"/>
    <n v="970"/>
    <x v="10"/>
    <n v="2089"/>
    <n v="1"/>
  </r>
  <r>
    <x v="1"/>
    <x v="1"/>
    <s v="S00411"/>
    <x v="135"/>
    <x v="4"/>
    <x v="320"/>
    <n v="692"/>
    <n v="300"/>
    <x v="11"/>
    <n v="402"/>
    <n v="1"/>
  </r>
  <r>
    <x v="1"/>
    <x v="6"/>
    <s v="S00411"/>
    <x v="128"/>
    <x v="5"/>
    <x v="321"/>
    <n v="839"/>
    <n v="334"/>
    <x v="0"/>
    <n v="782"/>
    <n v="1"/>
  </r>
  <r>
    <x v="1"/>
    <x v="7"/>
    <s v="S00411"/>
    <x v="105"/>
    <x v="1"/>
    <x v="322"/>
    <n v="413"/>
    <n v="930"/>
    <x v="1"/>
    <n v="1496"/>
    <n v="1"/>
  </r>
  <r>
    <x v="1"/>
    <x v="9"/>
    <s v="S00411"/>
    <x v="140"/>
    <x v="4"/>
    <x v="323"/>
    <n v="577"/>
    <n v="175"/>
    <x v="2"/>
    <n v="413"/>
    <n v="1"/>
  </r>
  <r>
    <x v="1"/>
    <x v="1"/>
    <s v="S00411"/>
    <x v="32"/>
    <x v="1"/>
    <x v="324"/>
    <n v="692"/>
    <n v="300"/>
    <x v="3"/>
    <n v="447"/>
    <n v="1"/>
  </r>
  <r>
    <x v="1"/>
    <x v="7"/>
    <s v="S00411"/>
    <x v="87"/>
    <x v="3"/>
    <x v="325"/>
    <n v="692"/>
    <n v="300"/>
    <x v="4"/>
    <n v="469"/>
    <n v="1"/>
  </r>
  <r>
    <x v="1"/>
    <x v="1"/>
    <s v="S00411"/>
    <x v="60"/>
    <x v="3"/>
    <x v="326"/>
    <n v="568"/>
    <n v="505"/>
    <x v="5"/>
    <n v="742"/>
    <n v="1"/>
  </r>
  <r>
    <x v="1"/>
    <x v="6"/>
    <s v="S00411"/>
    <x v="198"/>
    <x v="5"/>
    <x v="327"/>
    <n v="597"/>
    <n v="287"/>
    <x v="6"/>
    <n v="328"/>
    <n v="1"/>
  </r>
  <r>
    <x v="1"/>
    <x v="3"/>
    <s v="S00411"/>
    <x v="141"/>
    <x v="5"/>
    <x v="328"/>
    <n v="577"/>
    <n v="175"/>
    <x v="7"/>
    <n v="264"/>
    <n v="1"/>
  </r>
  <r>
    <x v="1"/>
    <x v="5"/>
    <s v="S00411"/>
    <x v="102"/>
    <x v="8"/>
    <x v="329"/>
    <n v="413"/>
    <n v="930"/>
    <x v="8"/>
    <n v="1927"/>
    <n v="1"/>
  </r>
  <r>
    <x v="1"/>
    <x v="2"/>
    <s v="S00411"/>
    <x v="29"/>
    <x v="2"/>
    <x v="330"/>
    <n v="93"/>
    <n v="852"/>
    <x v="9"/>
    <n v="1447"/>
    <n v="1"/>
  </r>
  <r>
    <x v="1"/>
    <x v="2"/>
    <s v="S00411"/>
    <x v="149"/>
    <x v="6"/>
    <x v="331"/>
    <n v="795"/>
    <n v="469"/>
    <x v="10"/>
    <n v="611"/>
    <n v="1"/>
  </r>
  <r>
    <x v="1"/>
    <x v="4"/>
    <s v="S00411"/>
    <x v="23"/>
    <x v="2"/>
    <x v="332"/>
    <n v="312"/>
    <n v="983"/>
    <x v="11"/>
    <n v="1360"/>
    <n v="1"/>
  </r>
  <r>
    <x v="1"/>
    <x v="7"/>
    <s v="S00411"/>
    <x v="6"/>
    <x v="1"/>
    <x v="333"/>
    <n v="839"/>
    <n v="334"/>
    <x v="0"/>
    <n v="375"/>
    <n v="1"/>
  </r>
  <r>
    <x v="1"/>
    <x v="2"/>
    <s v="S00411"/>
    <x v="96"/>
    <x v="7"/>
    <x v="334"/>
    <n v="287"/>
    <n v="744"/>
    <x v="1"/>
    <n v="1218"/>
    <n v="1"/>
  </r>
  <r>
    <x v="1"/>
    <x v="1"/>
    <s v="S00411"/>
    <x v="92"/>
    <x v="6"/>
    <x v="335"/>
    <n v="168"/>
    <n v="97"/>
    <x v="2"/>
    <n v="140"/>
    <n v="1"/>
  </r>
  <r>
    <x v="1"/>
    <x v="0"/>
    <s v="S00411"/>
    <x v="155"/>
    <x v="3"/>
    <x v="336"/>
    <n v="839"/>
    <n v="334"/>
    <x v="3"/>
    <n v="650"/>
    <n v="1"/>
  </r>
  <r>
    <x v="1"/>
    <x v="0"/>
    <s v="S00411"/>
    <x v="199"/>
    <x v="8"/>
    <x v="337"/>
    <n v="839"/>
    <n v="334"/>
    <x v="4"/>
    <n v="533"/>
    <n v="1"/>
  </r>
  <r>
    <x v="1"/>
    <x v="7"/>
    <s v="S00411"/>
    <x v="153"/>
    <x v="2"/>
    <x v="338"/>
    <n v="795"/>
    <n v="469"/>
    <x v="5"/>
    <n v="913"/>
    <n v="1"/>
  </r>
  <r>
    <x v="1"/>
    <x v="2"/>
    <s v="S00411"/>
    <x v="154"/>
    <x v="8"/>
    <x v="339"/>
    <n v="610"/>
    <n v="970"/>
    <x v="6"/>
    <n v="2335"/>
    <n v="1"/>
  </r>
  <r>
    <x v="1"/>
    <x v="7"/>
    <s v="S00411"/>
    <x v="147"/>
    <x v="1"/>
    <x v="340"/>
    <n v="413"/>
    <n v="930"/>
    <x v="7"/>
    <n v="1847"/>
    <n v="1"/>
  </r>
  <r>
    <x v="2"/>
    <x v="4"/>
    <s v="S00411"/>
    <x v="1"/>
    <x v="6"/>
    <x v="341"/>
    <n v="784"/>
    <n v="540"/>
    <x v="8"/>
    <n v="630"/>
    <n v="1"/>
  </r>
  <r>
    <x v="2"/>
    <x v="7"/>
    <s v="S00411"/>
    <x v="162"/>
    <x v="3"/>
    <x v="341"/>
    <n v="795"/>
    <n v="469"/>
    <x v="9"/>
    <n v="775"/>
    <n v="1"/>
  </r>
  <r>
    <x v="2"/>
    <x v="8"/>
    <s v="S00411"/>
    <x v="3"/>
    <x v="2"/>
    <x v="171"/>
    <n v="930"/>
    <n v="563"/>
    <x v="10"/>
    <n v="806"/>
    <n v="1"/>
  </r>
  <r>
    <x v="2"/>
    <x v="4"/>
    <s v="S00432"/>
    <x v="4"/>
    <x v="2"/>
    <x v="342"/>
    <n v="312"/>
    <n v="983"/>
    <x v="11"/>
    <n v="1645"/>
    <n v="1"/>
  </r>
  <r>
    <x v="2"/>
    <x v="8"/>
    <s v="S00411"/>
    <x v="7"/>
    <x v="5"/>
    <x v="174"/>
    <n v="839"/>
    <n v="334"/>
    <x v="0"/>
    <n v="800"/>
    <n v="1"/>
  </r>
  <r>
    <x v="2"/>
    <x v="5"/>
    <s v="S00411"/>
    <x v="8"/>
    <x v="4"/>
    <x v="175"/>
    <n v="568"/>
    <n v="505"/>
    <x v="1"/>
    <n v="871"/>
    <n v="1"/>
  </r>
  <r>
    <x v="2"/>
    <x v="7"/>
    <s v="S00501"/>
    <x v="9"/>
    <x v="5"/>
    <x v="343"/>
    <n v="210"/>
    <n v="177"/>
    <x v="2"/>
    <n v="414"/>
    <n v="1"/>
  </r>
  <r>
    <x v="2"/>
    <x v="5"/>
    <s v="S00411"/>
    <x v="10"/>
    <x v="4"/>
    <x v="344"/>
    <n v="568"/>
    <n v="505"/>
    <x v="3"/>
    <n v="924"/>
    <n v="1"/>
  </r>
  <r>
    <x v="2"/>
    <x v="0"/>
    <s v="S00597"/>
    <x v="144"/>
    <x v="1"/>
    <x v="344"/>
    <n v="839"/>
    <n v="983"/>
    <x v="4"/>
    <n v="1759"/>
    <n v="1"/>
  </r>
  <r>
    <x v="2"/>
    <x v="3"/>
    <s v="S00411"/>
    <x v="11"/>
    <x v="1"/>
    <x v="177"/>
    <n v="577"/>
    <n v="175"/>
    <x v="5"/>
    <n v="340"/>
    <n v="1"/>
  </r>
  <r>
    <x v="2"/>
    <x v="7"/>
    <s v="S00411"/>
    <x v="12"/>
    <x v="5"/>
    <x v="178"/>
    <n v="413"/>
    <n v="930"/>
    <x v="6"/>
    <n v="1153"/>
    <n v="1"/>
  </r>
  <r>
    <x v="2"/>
    <x v="7"/>
    <s v="S00411"/>
    <x v="13"/>
    <x v="1"/>
    <x v="179"/>
    <n v="413"/>
    <n v="930"/>
    <x v="7"/>
    <n v="1137"/>
    <n v="1"/>
  </r>
  <r>
    <x v="2"/>
    <x v="1"/>
    <s v="S00411"/>
    <x v="14"/>
    <x v="5"/>
    <x v="180"/>
    <n v="312"/>
    <n v="983"/>
    <x v="8"/>
    <n v="1609"/>
    <n v="1"/>
  </r>
  <r>
    <x v="2"/>
    <x v="0"/>
    <s v="S00411"/>
    <x v="88"/>
    <x v="4"/>
    <x v="345"/>
    <n v="93"/>
    <n v="852"/>
    <x v="9"/>
    <n v="1656"/>
    <n v="1"/>
  </r>
  <r>
    <x v="2"/>
    <x v="9"/>
    <s v="S00411"/>
    <x v="15"/>
    <x v="3"/>
    <x v="345"/>
    <n v="692"/>
    <n v="300"/>
    <x v="10"/>
    <n v="467"/>
    <n v="1"/>
  </r>
  <r>
    <x v="2"/>
    <x v="4"/>
    <s v="S00411"/>
    <x v="194"/>
    <x v="3"/>
    <x v="182"/>
    <n v="413"/>
    <n v="930"/>
    <x v="11"/>
    <n v="1093"/>
    <n v="1"/>
  </r>
  <r>
    <x v="2"/>
    <x v="1"/>
    <s v="S00411"/>
    <x v="74"/>
    <x v="8"/>
    <x v="182"/>
    <n v="692"/>
    <n v="300"/>
    <x v="0"/>
    <n v="645"/>
    <n v="1"/>
  </r>
  <r>
    <x v="2"/>
    <x v="5"/>
    <s v="S00411"/>
    <x v="106"/>
    <x v="8"/>
    <x v="182"/>
    <n v="839"/>
    <n v="983"/>
    <x v="1"/>
    <n v="1664"/>
    <n v="1"/>
  </r>
  <r>
    <x v="2"/>
    <x v="6"/>
    <s v="S00348"/>
    <x v="76"/>
    <x v="8"/>
    <x v="182"/>
    <n v="930"/>
    <n v="563"/>
    <x v="2"/>
    <n v="775"/>
    <n v="1"/>
  </r>
  <r>
    <x v="2"/>
    <x v="1"/>
    <s v="S00411"/>
    <x v="26"/>
    <x v="8"/>
    <x v="182"/>
    <n v="692"/>
    <n v="300"/>
    <x v="3"/>
    <n v="345"/>
    <n v="1"/>
  </r>
  <r>
    <x v="2"/>
    <x v="1"/>
    <s v="S00411"/>
    <x v="95"/>
    <x v="8"/>
    <x v="182"/>
    <n v="413"/>
    <n v="930"/>
    <x v="4"/>
    <n v="1072"/>
    <n v="1"/>
  </r>
  <r>
    <x v="2"/>
    <x v="1"/>
    <s v="S00411"/>
    <x v="92"/>
    <x v="8"/>
    <x v="182"/>
    <n v="872"/>
    <n v="249"/>
    <x v="5"/>
    <n v="622"/>
    <n v="1"/>
  </r>
  <r>
    <x v="2"/>
    <x v="6"/>
    <s v="S00348"/>
    <x v="80"/>
    <x v="8"/>
    <x v="182"/>
    <n v="930"/>
    <n v="563"/>
    <x v="6"/>
    <n v="1071"/>
    <n v="1"/>
  </r>
  <r>
    <x v="2"/>
    <x v="1"/>
    <s v="S00411"/>
    <x v="41"/>
    <x v="8"/>
    <x v="182"/>
    <n v="413"/>
    <n v="930"/>
    <x v="7"/>
    <n v="1895"/>
    <n v="1"/>
  </r>
  <r>
    <x v="2"/>
    <x v="6"/>
    <s v="S00348"/>
    <x v="151"/>
    <x v="8"/>
    <x v="182"/>
    <n v="930"/>
    <n v="563"/>
    <x v="8"/>
    <n v="1102"/>
    <n v="1"/>
  </r>
  <r>
    <x v="2"/>
    <x v="1"/>
    <s v="S00411"/>
    <x v="16"/>
    <x v="8"/>
    <x v="182"/>
    <n v="287"/>
    <n v="744"/>
    <x v="9"/>
    <n v="1527"/>
    <n v="1"/>
  </r>
  <r>
    <x v="2"/>
    <x v="8"/>
    <s v="S00411"/>
    <x v="17"/>
    <x v="2"/>
    <x v="183"/>
    <n v="749"/>
    <n v="648"/>
    <x v="10"/>
    <n v="1074"/>
    <n v="1"/>
  </r>
  <r>
    <x v="2"/>
    <x v="1"/>
    <s v="S00411"/>
    <x v="18"/>
    <x v="6"/>
    <x v="184"/>
    <n v="872"/>
    <n v="249"/>
    <x v="11"/>
    <n v="400"/>
    <n v="1"/>
  </r>
  <r>
    <x v="2"/>
    <x v="7"/>
    <s v="S00573"/>
    <x v="20"/>
    <x v="3"/>
    <x v="186"/>
    <n v="839"/>
    <n v="334"/>
    <x v="0"/>
    <n v="624"/>
    <n v="1"/>
  </r>
  <r>
    <x v="2"/>
    <x v="4"/>
    <s v="S00432"/>
    <x v="21"/>
    <x v="2"/>
    <x v="189"/>
    <n v="312"/>
    <n v="983"/>
    <x v="1"/>
    <n v="1356"/>
    <n v="1"/>
  </r>
  <r>
    <x v="2"/>
    <x v="4"/>
    <s v="S00411"/>
    <x v="22"/>
    <x v="6"/>
    <x v="190"/>
    <n v="784"/>
    <n v="540"/>
    <x v="2"/>
    <n v="734"/>
    <n v="1"/>
  </r>
  <r>
    <x v="2"/>
    <x v="1"/>
    <s v="S00411"/>
    <x v="164"/>
    <x v="2"/>
    <x v="191"/>
    <n v="784"/>
    <n v="540"/>
    <x v="3"/>
    <n v="1140"/>
    <n v="1"/>
  </r>
  <r>
    <x v="2"/>
    <x v="3"/>
    <s v="S00432"/>
    <x v="24"/>
    <x v="6"/>
    <x v="346"/>
    <n v="597"/>
    <n v="287"/>
    <x v="4"/>
    <n v="357"/>
    <n v="1"/>
  </r>
  <r>
    <x v="2"/>
    <x v="6"/>
    <s v="S00411"/>
    <x v="25"/>
    <x v="4"/>
    <x v="347"/>
    <n v="610"/>
    <n v="970"/>
    <x v="5"/>
    <n v="1975"/>
    <n v="1"/>
  </r>
  <r>
    <x v="2"/>
    <x v="8"/>
    <s v="S00411"/>
    <x v="28"/>
    <x v="6"/>
    <x v="195"/>
    <n v="597"/>
    <n v="287"/>
    <x v="6"/>
    <n v="594"/>
    <n v="1"/>
  </r>
  <r>
    <x v="2"/>
    <x v="2"/>
    <s v="S00411"/>
    <x v="157"/>
    <x v="3"/>
    <x v="348"/>
    <n v="795"/>
    <n v="469"/>
    <x v="7"/>
    <n v="555"/>
    <n v="1"/>
  </r>
  <r>
    <x v="2"/>
    <x v="8"/>
    <s v="S00411"/>
    <x v="29"/>
    <x v="2"/>
    <x v="197"/>
    <n v="839"/>
    <n v="983"/>
    <x v="8"/>
    <n v="2360"/>
    <n v="1"/>
  </r>
  <r>
    <x v="2"/>
    <x v="3"/>
    <s v="S00411"/>
    <x v="30"/>
    <x v="2"/>
    <x v="198"/>
    <n v="839"/>
    <n v="983"/>
    <x v="9"/>
    <n v="2122"/>
    <n v="1"/>
  </r>
  <r>
    <x v="2"/>
    <x v="8"/>
    <s v="S00689"/>
    <x v="31"/>
    <x v="6"/>
    <x v="200"/>
    <n v="749"/>
    <n v="648"/>
    <x v="10"/>
    <n v="891"/>
    <n v="1"/>
  </r>
  <r>
    <x v="2"/>
    <x v="1"/>
    <s v="S00411"/>
    <x v="32"/>
    <x v="3"/>
    <x v="349"/>
    <n v="403"/>
    <n v="953"/>
    <x v="11"/>
    <n v="1716"/>
    <n v="1"/>
  </r>
  <r>
    <x v="2"/>
    <x v="4"/>
    <s v="S00411"/>
    <x v="34"/>
    <x v="6"/>
    <x v="204"/>
    <n v="784"/>
    <n v="540"/>
    <x v="0"/>
    <n v="773"/>
    <n v="1"/>
  </r>
  <r>
    <x v="2"/>
    <x v="5"/>
    <s v="S00411"/>
    <x v="35"/>
    <x v="3"/>
    <x v="206"/>
    <n v="784"/>
    <n v="540"/>
    <x v="1"/>
    <n v="633"/>
    <n v="1"/>
  </r>
  <r>
    <x v="2"/>
    <x v="0"/>
    <s v="S00597"/>
    <x v="36"/>
    <x v="1"/>
    <x v="350"/>
    <n v="839"/>
    <n v="983"/>
    <x v="2"/>
    <n v="1615"/>
    <n v="1"/>
  </r>
  <r>
    <x v="2"/>
    <x v="6"/>
    <s v="S00411"/>
    <x v="37"/>
    <x v="4"/>
    <x v="351"/>
    <n v="610"/>
    <n v="970"/>
    <x v="3"/>
    <n v="2135"/>
    <n v="1"/>
  </r>
  <r>
    <x v="2"/>
    <x v="6"/>
    <s v="S00411"/>
    <x v="38"/>
    <x v="7"/>
    <x v="352"/>
    <n v="692"/>
    <n v="300"/>
    <x v="4"/>
    <n v="571"/>
    <n v="1"/>
  </r>
  <r>
    <x v="2"/>
    <x v="7"/>
    <s v="S00501"/>
    <x v="39"/>
    <x v="5"/>
    <x v="208"/>
    <n v="210"/>
    <n v="177"/>
    <x v="5"/>
    <n v="376"/>
    <n v="1"/>
  </r>
  <r>
    <x v="2"/>
    <x v="7"/>
    <s v="S00573"/>
    <x v="40"/>
    <x v="3"/>
    <x v="353"/>
    <n v="839"/>
    <n v="334"/>
    <x v="6"/>
    <n v="711"/>
    <n v="1"/>
  </r>
  <r>
    <x v="2"/>
    <x v="1"/>
    <s v="S00411"/>
    <x v="43"/>
    <x v="6"/>
    <x v="354"/>
    <n v="872"/>
    <n v="249"/>
    <x v="7"/>
    <n v="548"/>
    <n v="1"/>
  </r>
  <r>
    <x v="2"/>
    <x v="9"/>
    <s v="S00411"/>
    <x v="56"/>
    <x v="1"/>
    <x v="354"/>
    <n v="930"/>
    <n v="563"/>
    <x v="8"/>
    <n v="662"/>
    <n v="1"/>
  </r>
  <r>
    <x v="2"/>
    <x v="9"/>
    <s v="S00411"/>
    <x v="165"/>
    <x v="6"/>
    <x v="211"/>
    <n v="692"/>
    <n v="300"/>
    <x v="9"/>
    <n v="401"/>
    <n v="1"/>
  </r>
  <r>
    <x v="2"/>
    <x v="7"/>
    <s v="S00411"/>
    <x v="188"/>
    <x v="7"/>
    <x v="211"/>
    <n v="403"/>
    <n v="953"/>
    <x v="10"/>
    <n v="1794"/>
    <n v="1"/>
  </r>
  <r>
    <x v="2"/>
    <x v="6"/>
    <s v="S00411"/>
    <x v="46"/>
    <x v="4"/>
    <x v="355"/>
    <n v="610"/>
    <n v="970"/>
    <x v="11"/>
    <n v="1973"/>
    <n v="1"/>
  </r>
  <r>
    <x v="2"/>
    <x v="7"/>
    <s v="S00411"/>
    <x v="49"/>
    <x v="1"/>
    <x v="356"/>
    <n v="413"/>
    <n v="930"/>
    <x v="0"/>
    <n v="1272"/>
    <n v="1"/>
  </r>
  <r>
    <x v="2"/>
    <x v="2"/>
    <s v="S00411"/>
    <x v="0"/>
    <x v="3"/>
    <x v="356"/>
    <n v="784"/>
    <n v="540"/>
    <x v="1"/>
    <n v="1242"/>
    <n v="1"/>
  </r>
  <r>
    <x v="2"/>
    <x v="5"/>
    <s v="S00411"/>
    <x v="50"/>
    <x v="4"/>
    <x v="216"/>
    <n v="568"/>
    <n v="505"/>
    <x v="2"/>
    <n v="1224"/>
    <n v="1"/>
  </r>
  <r>
    <x v="2"/>
    <x v="7"/>
    <s v="S00411"/>
    <x v="51"/>
    <x v="1"/>
    <x v="217"/>
    <n v="413"/>
    <n v="930"/>
    <x v="3"/>
    <n v="2216"/>
    <n v="1"/>
  </r>
  <r>
    <x v="2"/>
    <x v="0"/>
    <s v="S00411"/>
    <x v="52"/>
    <x v="4"/>
    <x v="357"/>
    <n v="287"/>
    <n v="744"/>
    <x v="4"/>
    <n v="1382"/>
    <n v="1"/>
  </r>
  <r>
    <x v="2"/>
    <x v="9"/>
    <s v="S00411"/>
    <x v="53"/>
    <x v="1"/>
    <x v="218"/>
    <n v="930"/>
    <n v="563"/>
    <x v="5"/>
    <n v="1090"/>
    <n v="1"/>
  </r>
  <r>
    <x v="2"/>
    <x v="9"/>
    <s v="S00411"/>
    <x v="159"/>
    <x v="4"/>
    <x v="358"/>
    <n v="749"/>
    <n v="648"/>
    <x v="6"/>
    <n v="1444"/>
    <n v="1"/>
  </r>
  <r>
    <x v="2"/>
    <x v="2"/>
    <s v="S00411"/>
    <x v="55"/>
    <x v="2"/>
    <x v="359"/>
    <n v="795"/>
    <n v="469"/>
    <x v="7"/>
    <n v="747"/>
    <n v="1"/>
  </r>
  <r>
    <x v="2"/>
    <x v="7"/>
    <s v="S00411"/>
    <x v="139"/>
    <x v="4"/>
    <x v="360"/>
    <n v="968"/>
    <n v="330"/>
    <x v="8"/>
    <n v="446"/>
    <n v="1"/>
  </r>
  <r>
    <x v="2"/>
    <x v="6"/>
    <s v="S00411"/>
    <x v="57"/>
    <x v="7"/>
    <x v="360"/>
    <n v="784"/>
    <n v="540"/>
    <x v="9"/>
    <n v="1231"/>
    <n v="1"/>
  </r>
  <r>
    <x v="2"/>
    <x v="8"/>
    <s v="S00411"/>
    <x v="58"/>
    <x v="6"/>
    <x v="361"/>
    <n v="610"/>
    <n v="970"/>
    <x v="10"/>
    <n v="1941"/>
    <n v="1"/>
  </r>
  <r>
    <x v="2"/>
    <x v="1"/>
    <s v="S00411"/>
    <x v="181"/>
    <x v="2"/>
    <x v="220"/>
    <n v="872"/>
    <n v="249"/>
    <x v="11"/>
    <n v="397"/>
    <n v="1"/>
  </r>
  <r>
    <x v="2"/>
    <x v="3"/>
    <s v="S00411"/>
    <x v="166"/>
    <x v="7"/>
    <x v="220"/>
    <n v="597"/>
    <n v="287"/>
    <x v="0"/>
    <n v="346"/>
    <n v="1"/>
  </r>
  <r>
    <x v="2"/>
    <x v="5"/>
    <s v="S00411"/>
    <x v="59"/>
    <x v="8"/>
    <x v="220"/>
    <n v="168"/>
    <n v="97"/>
    <x v="1"/>
    <n v="120"/>
    <n v="1"/>
  </r>
  <r>
    <x v="2"/>
    <x v="6"/>
    <s v="S00411"/>
    <x v="163"/>
    <x v="1"/>
    <x v="221"/>
    <n v="312"/>
    <n v="983"/>
    <x v="2"/>
    <n v="1782"/>
    <n v="1"/>
  </r>
  <r>
    <x v="2"/>
    <x v="2"/>
    <s v="S00411"/>
    <x v="62"/>
    <x v="2"/>
    <x v="362"/>
    <n v="795"/>
    <n v="469"/>
    <x v="3"/>
    <n v="901"/>
    <n v="1"/>
  </r>
  <r>
    <x v="2"/>
    <x v="5"/>
    <s v="S00411"/>
    <x v="60"/>
    <x v="5"/>
    <x v="363"/>
    <n v="287"/>
    <n v="744"/>
    <x v="4"/>
    <n v="939"/>
    <n v="1"/>
  </r>
  <r>
    <x v="2"/>
    <x v="7"/>
    <s v="S00411"/>
    <x v="27"/>
    <x v="1"/>
    <x v="364"/>
    <n v="413"/>
    <n v="930"/>
    <x v="5"/>
    <n v="1745"/>
    <n v="1"/>
  </r>
  <r>
    <x v="2"/>
    <x v="7"/>
    <s v="S00573"/>
    <x v="65"/>
    <x v="3"/>
    <x v="364"/>
    <n v="839"/>
    <n v="334"/>
    <x v="6"/>
    <n v="822"/>
    <n v="1"/>
  </r>
  <r>
    <x v="2"/>
    <x v="6"/>
    <s v="S00348"/>
    <x v="66"/>
    <x v="8"/>
    <x v="225"/>
    <n v="930"/>
    <n v="563"/>
    <x v="7"/>
    <n v="900"/>
    <n v="1"/>
  </r>
  <r>
    <x v="2"/>
    <x v="2"/>
    <s v="S00411"/>
    <x v="68"/>
    <x v="2"/>
    <x v="228"/>
    <n v="795"/>
    <n v="469"/>
    <x v="8"/>
    <n v="1070"/>
    <n v="1"/>
  </r>
  <r>
    <x v="2"/>
    <x v="2"/>
    <s v="S00411"/>
    <x v="69"/>
    <x v="7"/>
    <x v="229"/>
    <n v="287"/>
    <n v="744"/>
    <x v="9"/>
    <n v="1822"/>
    <n v="1"/>
  </r>
  <r>
    <x v="2"/>
    <x v="2"/>
    <s v="S00411"/>
    <x v="70"/>
    <x v="3"/>
    <x v="230"/>
    <n v="839"/>
    <n v="334"/>
    <x v="10"/>
    <n v="516"/>
    <n v="1"/>
  </r>
  <r>
    <x v="2"/>
    <x v="3"/>
    <s v="S00411"/>
    <x v="176"/>
    <x v="7"/>
    <x v="231"/>
    <n v="968"/>
    <n v="330"/>
    <x v="11"/>
    <n v="766"/>
    <n v="1"/>
  </r>
  <r>
    <x v="2"/>
    <x v="3"/>
    <s v="S00432"/>
    <x v="72"/>
    <x v="6"/>
    <x v="365"/>
    <n v="597"/>
    <n v="287"/>
    <x v="0"/>
    <n v="519"/>
    <n v="1"/>
  </r>
  <r>
    <x v="2"/>
    <x v="2"/>
    <s v="S00411"/>
    <x v="124"/>
    <x v="3"/>
    <x v="365"/>
    <n v="872"/>
    <n v="249"/>
    <x v="1"/>
    <n v="606"/>
    <n v="1"/>
  </r>
  <r>
    <x v="2"/>
    <x v="8"/>
    <s v="S00689"/>
    <x v="73"/>
    <x v="6"/>
    <x v="366"/>
    <n v="749"/>
    <n v="648"/>
    <x v="2"/>
    <n v="913"/>
    <n v="1"/>
  </r>
  <r>
    <x v="2"/>
    <x v="1"/>
    <s v="S00411"/>
    <x v="67"/>
    <x v="6"/>
    <x v="367"/>
    <n v="872"/>
    <n v="249"/>
    <x v="3"/>
    <n v="621"/>
    <n v="1"/>
  </r>
  <r>
    <x v="2"/>
    <x v="5"/>
    <s v="S00411"/>
    <x v="75"/>
    <x v="0"/>
    <x v="367"/>
    <n v="577"/>
    <n v="175"/>
    <x v="4"/>
    <n v="233"/>
    <n v="1"/>
  </r>
  <r>
    <x v="2"/>
    <x v="3"/>
    <s v="S00411"/>
    <x v="146"/>
    <x v="0"/>
    <x v="367"/>
    <n v="872"/>
    <n v="249"/>
    <x v="5"/>
    <n v="442"/>
    <n v="1"/>
  </r>
  <r>
    <x v="2"/>
    <x v="5"/>
    <s v="S00411"/>
    <x v="64"/>
    <x v="0"/>
    <x v="367"/>
    <n v="577"/>
    <n v="175"/>
    <x v="6"/>
    <n v="220"/>
    <n v="1"/>
  </r>
  <r>
    <x v="2"/>
    <x v="2"/>
    <s v="S00411"/>
    <x v="197"/>
    <x v="0"/>
    <x v="367"/>
    <n v="93"/>
    <n v="852"/>
    <x v="7"/>
    <n v="1889"/>
    <n v="1"/>
  </r>
  <r>
    <x v="2"/>
    <x v="3"/>
    <s v="S00411"/>
    <x v="6"/>
    <x v="0"/>
    <x v="367"/>
    <n v="403"/>
    <n v="953"/>
    <x v="8"/>
    <n v="1652"/>
    <n v="1"/>
  </r>
  <r>
    <x v="2"/>
    <x v="3"/>
    <s v="S00411"/>
    <x v="149"/>
    <x v="0"/>
    <x v="367"/>
    <n v="968"/>
    <n v="330"/>
    <x v="9"/>
    <n v="437"/>
    <n v="1"/>
  </r>
  <r>
    <x v="2"/>
    <x v="3"/>
    <s v="S00411"/>
    <x v="48"/>
    <x v="0"/>
    <x v="367"/>
    <n v="610"/>
    <n v="970"/>
    <x v="10"/>
    <n v="1299"/>
    <n v="1"/>
  </r>
  <r>
    <x v="2"/>
    <x v="3"/>
    <s v="S00411"/>
    <x v="2"/>
    <x v="0"/>
    <x v="367"/>
    <n v="968"/>
    <n v="330"/>
    <x v="11"/>
    <n v="410"/>
    <n v="1"/>
  </r>
  <r>
    <x v="2"/>
    <x v="3"/>
    <s v="S00411"/>
    <x v="115"/>
    <x v="0"/>
    <x v="367"/>
    <n v="930"/>
    <n v="563"/>
    <x v="0"/>
    <n v="876"/>
    <n v="1"/>
  </r>
  <r>
    <x v="2"/>
    <x v="4"/>
    <s v="S00411"/>
    <x v="155"/>
    <x v="0"/>
    <x v="367"/>
    <n v="403"/>
    <n v="953"/>
    <x v="1"/>
    <n v="2372"/>
    <n v="1"/>
  </r>
  <r>
    <x v="2"/>
    <x v="3"/>
    <s v="S00411"/>
    <x v="42"/>
    <x v="0"/>
    <x v="367"/>
    <n v="784"/>
    <n v="540"/>
    <x v="2"/>
    <n v="861"/>
    <n v="1"/>
  </r>
  <r>
    <x v="2"/>
    <x v="4"/>
    <s v="S00411"/>
    <x v="45"/>
    <x v="0"/>
    <x v="367"/>
    <n v="168"/>
    <n v="97"/>
    <x v="3"/>
    <n v="139"/>
    <n v="1"/>
  </r>
  <r>
    <x v="2"/>
    <x v="2"/>
    <s v="S00411"/>
    <x v="136"/>
    <x v="0"/>
    <x v="367"/>
    <n v="403"/>
    <n v="953"/>
    <x v="4"/>
    <n v="1516"/>
    <n v="1"/>
  </r>
  <r>
    <x v="2"/>
    <x v="5"/>
    <s v="S00411"/>
    <x v="125"/>
    <x v="0"/>
    <x v="367"/>
    <n v="577"/>
    <n v="175"/>
    <x v="5"/>
    <n v="193"/>
    <n v="1"/>
  </r>
  <r>
    <x v="2"/>
    <x v="2"/>
    <s v="S00411"/>
    <x v="183"/>
    <x v="0"/>
    <x v="367"/>
    <n v="784"/>
    <n v="540"/>
    <x v="6"/>
    <n v="1009"/>
    <n v="1"/>
  </r>
  <r>
    <x v="2"/>
    <x v="3"/>
    <s v="S00411"/>
    <x v="33"/>
    <x v="0"/>
    <x v="367"/>
    <n v="413"/>
    <n v="930"/>
    <x v="7"/>
    <n v="1588"/>
    <n v="1"/>
  </r>
  <r>
    <x v="2"/>
    <x v="9"/>
    <s v="S00411"/>
    <x v="77"/>
    <x v="1"/>
    <x v="233"/>
    <n v="872"/>
    <n v="249"/>
    <x v="8"/>
    <n v="468"/>
    <n v="1"/>
  </r>
  <r>
    <x v="2"/>
    <x v="5"/>
    <s v="S00411"/>
    <x v="185"/>
    <x v="5"/>
    <x v="234"/>
    <n v="692"/>
    <n v="300"/>
    <x v="9"/>
    <n v="657"/>
    <n v="1"/>
  </r>
  <r>
    <x v="2"/>
    <x v="7"/>
    <s v="S00411"/>
    <x v="182"/>
    <x v="6"/>
    <x v="234"/>
    <n v="287"/>
    <n v="744"/>
    <x v="10"/>
    <n v="1623"/>
    <n v="1"/>
  </r>
  <r>
    <x v="2"/>
    <x v="3"/>
    <s v="S00411"/>
    <x v="79"/>
    <x v="7"/>
    <x v="234"/>
    <n v="577"/>
    <n v="175"/>
    <x v="11"/>
    <n v="313"/>
    <n v="1"/>
  </r>
  <r>
    <x v="2"/>
    <x v="0"/>
    <s v="S00411"/>
    <x v="171"/>
    <x v="1"/>
    <x v="235"/>
    <n v="930"/>
    <n v="563"/>
    <x v="0"/>
    <n v="696"/>
    <n v="1"/>
  </r>
  <r>
    <x v="2"/>
    <x v="0"/>
    <s v="S00411"/>
    <x v="81"/>
    <x v="4"/>
    <x v="368"/>
    <n v="968"/>
    <n v="330"/>
    <x v="1"/>
    <n v="671"/>
    <n v="1"/>
  </r>
  <r>
    <x v="2"/>
    <x v="1"/>
    <s v="S00411"/>
    <x v="82"/>
    <x v="8"/>
    <x v="236"/>
    <n v="210"/>
    <n v="177"/>
    <x v="2"/>
    <n v="391"/>
    <n v="1"/>
  </r>
  <r>
    <x v="2"/>
    <x v="4"/>
    <s v="S00411"/>
    <x v="196"/>
    <x v="2"/>
    <x v="369"/>
    <n v="784"/>
    <n v="540"/>
    <x v="3"/>
    <n v="604"/>
    <n v="1"/>
  </r>
  <r>
    <x v="2"/>
    <x v="1"/>
    <s v="S00411"/>
    <x v="84"/>
    <x v="3"/>
    <x v="370"/>
    <n v="403"/>
    <n v="953"/>
    <x v="4"/>
    <n v="2201"/>
    <n v="1"/>
  </r>
  <r>
    <x v="2"/>
    <x v="7"/>
    <s v="S00411"/>
    <x v="195"/>
    <x v="3"/>
    <x v="238"/>
    <n v="839"/>
    <n v="334"/>
    <x v="5"/>
    <n v="595"/>
    <n v="1"/>
  </r>
  <r>
    <x v="2"/>
    <x v="3"/>
    <s v="S00411"/>
    <x v="86"/>
    <x v="3"/>
    <x v="238"/>
    <n v="930"/>
    <n v="563"/>
    <x v="6"/>
    <n v="1145"/>
    <n v="1"/>
  </r>
  <r>
    <x v="2"/>
    <x v="2"/>
    <s v="S00411"/>
    <x v="187"/>
    <x v="8"/>
    <x v="238"/>
    <n v="930"/>
    <n v="563"/>
    <x v="7"/>
    <n v="1262"/>
    <n v="1"/>
  </r>
  <r>
    <x v="2"/>
    <x v="7"/>
    <s v="S00501"/>
    <x v="87"/>
    <x v="5"/>
    <x v="242"/>
    <n v="210"/>
    <n v="177"/>
    <x v="8"/>
    <n v="387"/>
    <n v="1"/>
  </r>
  <r>
    <x v="2"/>
    <x v="9"/>
    <s v="S00411"/>
    <x v="89"/>
    <x v="3"/>
    <x v="244"/>
    <n v="692"/>
    <n v="300"/>
    <x v="9"/>
    <n v="375"/>
    <n v="1"/>
  </r>
  <r>
    <x v="2"/>
    <x v="9"/>
    <s v="S00411"/>
    <x v="90"/>
    <x v="3"/>
    <x v="371"/>
    <n v="692"/>
    <n v="300"/>
    <x v="10"/>
    <n v="618"/>
    <n v="1"/>
  </r>
  <r>
    <x v="2"/>
    <x v="4"/>
    <s v="S00432"/>
    <x v="91"/>
    <x v="2"/>
    <x v="245"/>
    <n v="312"/>
    <n v="983"/>
    <x v="11"/>
    <n v="2429"/>
    <n v="1"/>
  </r>
  <r>
    <x v="2"/>
    <x v="1"/>
    <s v="S00411"/>
    <x v="93"/>
    <x v="6"/>
    <x v="372"/>
    <n v="168"/>
    <n v="97"/>
    <x v="0"/>
    <n v="142"/>
    <n v="1"/>
  </r>
  <r>
    <x v="2"/>
    <x v="9"/>
    <s v="S00411"/>
    <x v="94"/>
    <x v="1"/>
    <x v="373"/>
    <n v="839"/>
    <n v="983"/>
    <x v="1"/>
    <n v="1590"/>
    <n v="1"/>
  </r>
  <r>
    <x v="2"/>
    <x v="0"/>
    <s v="S00411"/>
    <x v="158"/>
    <x v="1"/>
    <x v="374"/>
    <n v="312"/>
    <n v="983"/>
    <x v="2"/>
    <n v="1422"/>
    <n v="1"/>
  </r>
  <r>
    <x v="2"/>
    <x v="2"/>
    <s v="S00411"/>
    <x v="97"/>
    <x v="7"/>
    <x v="375"/>
    <n v="287"/>
    <n v="744"/>
    <x v="3"/>
    <n v="918"/>
    <n v="1"/>
  </r>
  <r>
    <x v="2"/>
    <x v="5"/>
    <s v="S00411"/>
    <x v="98"/>
    <x v="3"/>
    <x v="250"/>
    <n v="568"/>
    <n v="505"/>
    <x v="4"/>
    <n v="667"/>
    <n v="1"/>
  </r>
  <r>
    <x v="2"/>
    <x v="7"/>
    <s v="S00411"/>
    <x v="177"/>
    <x v="7"/>
    <x v="376"/>
    <n v="568"/>
    <n v="505"/>
    <x v="5"/>
    <n v="1214"/>
    <n v="1"/>
  </r>
  <r>
    <x v="2"/>
    <x v="2"/>
    <s v="S00411"/>
    <x v="100"/>
    <x v="3"/>
    <x v="252"/>
    <n v="839"/>
    <n v="334"/>
    <x v="6"/>
    <n v="825"/>
    <n v="1"/>
  </r>
  <r>
    <x v="2"/>
    <x v="0"/>
    <s v="S00597"/>
    <x v="101"/>
    <x v="1"/>
    <x v="377"/>
    <n v="839"/>
    <n v="983"/>
    <x v="7"/>
    <n v="1560"/>
    <n v="1"/>
  </r>
  <r>
    <x v="2"/>
    <x v="7"/>
    <s v="S00411"/>
    <x v="170"/>
    <x v="3"/>
    <x v="378"/>
    <n v="930"/>
    <n v="563"/>
    <x v="8"/>
    <n v="778"/>
    <n v="1"/>
  </r>
  <r>
    <x v="2"/>
    <x v="2"/>
    <s v="S00411"/>
    <x v="103"/>
    <x v="2"/>
    <x v="379"/>
    <n v="795"/>
    <n v="469"/>
    <x v="9"/>
    <n v="1154"/>
    <n v="1"/>
  </r>
  <r>
    <x v="2"/>
    <x v="4"/>
    <s v="S00411"/>
    <x v="104"/>
    <x v="6"/>
    <x v="253"/>
    <n v="784"/>
    <n v="540"/>
    <x v="10"/>
    <n v="660"/>
    <n v="1"/>
  </r>
  <r>
    <x v="2"/>
    <x v="6"/>
    <s v="S00411"/>
    <x v="174"/>
    <x v="1"/>
    <x v="255"/>
    <n v="795"/>
    <n v="469"/>
    <x v="11"/>
    <n v="903"/>
    <n v="1"/>
  </r>
  <r>
    <x v="2"/>
    <x v="7"/>
    <s v="S00411"/>
    <x v="107"/>
    <x v="7"/>
    <x v="255"/>
    <n v="839"/>
    <n v="983"/>
    <x v="0"/>
    <n v="1526"/>
    <n v="1"/>
  </r>
  <r>
    <x v="2"/>
    <x v="5"/>
    <s v="S00411"/>
    <x v="192"/>
    <x v="8"/>
    <x v="255"/>
    <n v="403"/>
    <n v="953"/>
    <x v="1"/>
    <n v="1756"/>
    <n v="1"/>
  </r>
  <r>
    <x v="2"/>
    <x v="5"/>
    <s v="S00411"/>
    <x v="108"/>
    <x v="3"/>
    <x v="380"/>
    <n v="577"/>
    <n v="175"/>
    <x v="2"/>
    <n v="251"/>
    <n v="1"/>
  </r>
  <r>
    <x v="2"/>
    <x v="5"/>
    <s v="S00411"/>
    <x v="109"/>
    <x v="3"/>
    <x v="259"/>
    <n v="577"/>
    <n v="175"/>
    <x v="3"/>
    <n v="318"/>
    <n v="1"/>
  </r>
  <r>
    <x v="2"/>
    <x v="1"/>
    <s v="S00411"/>
    <x v="169"/>
    <x v="5"/>
    <x v="260"/>
    <n v="872"/>
    <n v="249"/>
    <x v="4"/>
    <n v="333"/>
    <n v="1"/>
  </r>
  <r>
    <x v="2"/>
    <x v="0"/>
    <s v="S00411"/>
    <x v="111"/>
    <x v="4"/>
    <x v="261"/>
    <n v="93"/>
    <n v="852"/>
    <x v="5"/>
    <n v="1934"/>
    <n v="1"/>
  </r>
  <r>
    <x v="2"/>
    <x v="5"/>
    <s v="S00411"/>
    <x v="112"/>
    <x v="4"/>
    <x v="262"/>
    <n v="568"/>
    <n v="505"/>
    <x v="6"/>
    <n v="1055"/>
    <n v="1"/>
  </r>
  <r>
    <x v="2"/>
    <x v="7"/>
    <s v="S00411"/>
    <x v="113"/>
    <x v="4"/>
    <x v="264"/>
    <n v="968"/>
    <n v="330"/>
    <x v="7"/>
    <n v="381"/>
    <n v="1"/>
  </r>
  <r>
    <x v="2"/>
    <x v="5"/>
    <s v="S00411"/>
    <x v="160"/>
    <x v="5"/>
    <x v="265"/>
    <n v="839"/>
    <n v="983"/>
    <x v="8"/>
    <n v="2405"/>
    <n v="1"/>
  </r>
  <r>
    <x v="2"/>
    <x v="3"/>
    <s v="S00411"/>
    <x v="116"/>
    <x v="1"/>
    <x v="267"/>
    <n v="312"/>
    <n v="983"/>
    <x v="9"/>
    <n v="1477"/>
    <n v="1"/>
  </r>
  <r>
    <x v="2"/>
    <x v="9"/>
    <s v="S00411"/>
    <x v="117"/>
    <x v="3"/>
    <x v="268"/>
    <n v="692"/>
    <n v="300"/>
    <x v="10"/>
    <n v="535"/>
    <n v="1"/>
  </r>
  <r>
    <x v="2"/>
    <x v="3"/>
    <s v="S00411"/>
    <x v="189"/>
    <x v="4"/>
    <x v="269"/>
    <n v="597"/>
    <n v="287"/>
    <x v="11"/>
    <n v="319"/>
    <n v="1"/>
  </r>
  <r>
    <x v="2"/>
    <x v="9"/>
    <s v="S00411"/>
    <x v="199"/>
    <x v="6"/>
    <x v="272"/>
    <n v="413"/>
    <n v="930"/>
    <x v="0"/>
    <n v="2077"/>
    <n v="1"/>
  </r>
  <r>
    <x v="2"/>
    <x v="0"/>
    <s v="S00411"/>
    <x v="191"/>
    <x v="1"/>
    <x v="272"/>
    <n v="210"/>
    <n v="177"/>
    <x v="1"/>
    <n v="409"/>
    <n v="1"/>
  </r>
  <r>
    <x v="2"/>
    <x v="2"/>
    <s v="S00411"/>
    <x v="120"/>
    <x v="8"/>
    <x v="272"/>
    <n v="839"/>
    <n v="983"/>
    <x v="2"/>
    <n v="1791"/>
    <n v="1"/>
  </r>
  <r>
    <x v="2"/>
    <x v="2"/>
    <s v="S00411"/>
    <x v="178"/>
    <x v="8"/>
    <x v="272"/>
    <n v="210"/>
    <n v="177"/>
    <x v="3"/>
    <n v="386"/>
    <n v="1"/>
  </r>
  <r>
    <x v="2"/>
    <x v="5"/>
    <s v="S00411"/>
    <x v="184"/>
    <x v="8"/>
    <x v="273"/>
    <n v="413"/>
    <n v="930"/>
    <x v="4"/>
    <n v="2151"/>
    <n v="1"/>
  </r>
  <r>
    <x v="2"/>
    <x v="8"/>
    <s v="S00411"/>
    <x v="121"/>
    <x v="2"/>
    <x v="274"/>
    <n v="795"/>
    <n v="469"/>
    <x v="5"/>
    <n v="955"/>
    <n v="1"/>
  </r>
  <r>
    <x v="2"/>
    <x v="7"/>
    <s v="S00411"/>
    <x v="122"/>
    <x v="5"/>
    <x v="275"/>
    <n v="610"/>
    <n v="970"/>
    <x v="6"/>
    <n v="1596"/>
    <n v="1"/>
  </r>
  <r>
    <x v="2"/>
    <x v="4"/>
    <s v="S00411"/>
    <x v="186"/>
    <x v="2"/>
    <x v="381"/>
    <n v="168"/>
    <n v="97"/>
    <x v="7"/>
    <n v="112"/>
    <n v="1"/>
  </r>
  <r>
    <x v="2"/>
    <x v="1"/>
    <s v="S00411"/>
    <x v="123"/>
    <x v="6"/>
    <x v="382"/>
    <n v="168"/>
    <n v="97"/>
    <x v="8"/>
    <n v="115"/>
    <n v="1"/>
  </r>
  <r>
    <x v="2"/>
    <x v="9"/>
    <s v="S00411"/>
    <x v="61"/>
    <x v="6"/>
    <x v="382"/>
    <n v="312"/>
    <n v="983"/>
    <x v="9"/>
    <n v="1752"/>
    <n v="1"/>
  </r>
  <r>
    <x v="2"/>
    <x v="3"/>
    <s v="S00411"/>
    <x v="126"/>
    <x v="2"/>
    <x v="281"/>
    <n v="795"/>
    <n v="469"/>
    <x v="10"/>
    <n v="594"/>
    <n v="1"/>
  </r>
  <r>
    <x v="2"/>
    <x v="1"/>
    <s v="S00411"/>
    <x v="127"/>
    <x v="3"/>
    <x v="383"/>
    <n v="403"/>
    <n v="953"/>
    <x v="11"/>
    <n v="1778"/>
    <n v="1"/>
  </r>
  <r>
    <x v="2"/>
    <x v="3"/>
    <s v="S00411"/>
    <x v="156"/>
    <x v="4"/>
    <x v="291"/>
    <n v="168"/>
    <n v="97"/>
    <x v="0"/>
    <n v="136"/>
    <n v="1"/>
  </r>
  <r>
    <x v="2"/>
    <x v="1"/>
    <s v="S00411"/>
    <x v="128"/>
    <x v="3"/>
    <x v="384"/>
    <n v="403"/>
    <n v="953"/>
    <x v="1"/>
    <n v="1433"/>
    <n v="1"/>
  </r>
  <r>
    <x v="2"/>
    <x v="3"/>
    <s v="S00411"/>
    <x v="96"/>
    <x v="2"/>
    <x v="385"/>
    <n v="839"/>
    <n v="983"/>
    <x v="2"/>
    <n v="2151"/>
    <n v="1"/>
  </r>
  <r>
    <x v="2"/>
    <x v="6"/>
    <s v="S00411"/>
    <x v="129"/>
    <x v="7"/>
    <x v="385"/>
    <n v="168"/>
    <n v="97"/>
    <x v="3"/>
    <n v="173"/>
    <n v="1"/>
  </r>
  <r>
    <x v="2"/>
    <x v="8"/>
    <s v="S00411"/>
    <x v="19"/>
    <x v="5"/>
    <x v="386"/>
    <n v="610"/>
    <n v="970"/>
    <x v="4"/>
    <n v="1850"/>
    <n v="1"/>
  </r>
  <r>
    <x v="2"/>
    <x v="3"/>
    <s v="S00411"/>
    <x v="168"/>
    <x v="4"/>
    <x v="386"/>
    <n v="692"/>
    <n v="300"/>
    <x v="5"/>
    <n v="609"/>
    <n v="1"/>
  </r>
  <r>
    <x v="2"/>
    <x v="9"/>
    <s v="S00411"/>
    <x v="180"/>
    <x v="4"/>
    <x v="386"/>
    <n v="93"/>
    <n v="852"/>
    <x v="6"/>
    <n v="1364"/>
    <n v="1"/>
  </r>
  <r>
    <x v="2"/>
    <x v="6"/>
    <s v="S00411"/>
    <x v="175"/>
    <x v="1"/>
    <x v="386"/>
    <n v="610"/>
    <n v="970"/>
    <x v="7"/>
    <n v="1391"/>
    <n v="1"/>
  </r>
  <r>
    <x v="2"/>
    <x v="8"/>
    <s v="S00411"/>
    <x v="132"/>
    <x v="5"/>
    <x v="293"/>
    <n v="403"/>
    <n v="953"/>
    <x v="8"/>
    <n v="1446"/>
    <n v="1"/>
  </r>
  <r>
    <x v="2"/>
    <x v="7"/>
    <s v="S00411"/>
    <x v="190"/>
    <x v="6"/>
    <x v="294"/>
    <n v="784"/>
    <n v="540"/>
    <x v="9"/>
    <n v="871"/>
    <n v="1"/>
  </r>
  <r>
    <x v="2"/>
    <x v="3"/>
    <s v="S00411"/>
    <x v="133"/>
    <x v="1"/>
    <x v="295"/>
    <n v="568"/>
    <n v="505"/>
    <x v="10"/>
    <n v="1206"/>
    <n v="1"/>
  </r>
  <r>
    <x v="2"/>
    <x v="8"/>
    <s v="S00411"/>
    <x v="134"/>
    <x v="5"/>
    <x v="296"/>
    <n v="312"/>
    <n v="983"/>
    <x v="11"/>
    <n v="1381"/>
    <n v="1"/>
  </r>
  <r>
    <x v="2"/>
    <x v="4"/>
    <s v="S00411"/>
    <x v="193"/>
    <x v="2"/>
    <x v="297"/>
    <n v="210"/>
    <n v="177"/>
    <x v="0"/>
    <n v="382"/>
    <n v="1"/>
  </r>
  <r>
    <x v="2"/>
    <x v="2"/>
    <s v="S00411"/>
    <x v="154"/>
    <x v="7"/>
    <x v="297"/>
    <n v="287"/>
    <n v="744"/>
    <x v="1"/>
    <n v="1710"/>
    <n v="1"/>
  </r>
  <r>
    <x v="2"/>
    <x v="7"/>
    <s v="S00411"/>
    <x v="172"/>
    <x v="7"/>
    <x v="297"/>
    <n v="839"/>
    <n v="334"/>
    <x v="2"/>
    <n v="483"/>
    <n v="1"/>
  </r>
  <r>
    <x v="2"/>
    <x v="7"/>
    <s v="S00411"/>
    <x v="137"/>
    <x v="5"/>
    <x v="298"/>
    <n v="210"/>
    <n v="177"/>
    <x v="3"/>
    <n v="419"/>
    <n v="1"/>
  </r>
  <r>
    <x v="2"/>
    <x v="3"/>
    <s v="S00411"/>
    <x v="173"/>
    <x v="4"/>
    <x v="387"/>
    <n v="968"/>
    <n v="330"/>
    <x v="4"/>
    <n v="710"/>
    <n v="1"/>
  </r>
  <r>
    <x v="2"/>
    <x v="7"/>
    <s v="S00411"/>
    <x v="179"/>
    <x v="3"/>
    <x v="387"/>
    <n v="839"/>
    <n v="334"/>
    <x v="5"/>
    <n v="821"/>
    <n v="1"/>
  </r>
  <r>
    <x v="2"/>
    <x v="1"/>
    <s v="S00411"/>
    <x v="138"/>
    <x v="6"/>
    <x v="388"/>
    <n v="872"/>
    <n v="249"/>
    <x v="6"/>
    <n v="416"/>
    <n v="1"/>
  </r>
  <r>
    <x v="2"/>
    <x v="0"/>
    <s v="S00411"/>
    <x v="140"/>
    <x v="4"/>
    <x v="389"/>
    <n v="93"/>
    <n v="852"/>
    <x v="7"/>
    <n v="1500"/>
    <n v="1"/>
  </r>
  <r>
    <x v="2"/>
    <x v="7"/>
    <s v="S00411"/>
    <x v="141"/>
    <x v="4"/>
    <x v="390"/>
    <n v="968"/>
    <n v="330"/>
    <x v="8"/>
    <n v="594"/>
    <n v="1"/>
  </r>
  <r>
    <x v="2"/>
    <x v="1"/>
    <s v="S00411"/>
    <x v="83"/>
    <x v="8"/>
    <x v="390"/>
    <n v="839"/>
    <n v="334"/>
    <x v="9"/>
    <n v="584"/>
    <n v="1"/>
  </r>
  <r>
    <x v="2"/>
    <x v="7"/>
    <s v="S00411"/>
    <x v="161"/>
    <x v="6"/>
    <x v="303"/>
    <n v="413"/>
    <n v="930"/>
    <x v="10"/>
    <n v="2006"/>
    <n v="1"/>
  </r>
  <r>
    <x v="2"/>
    <x v="3"/>
    <s v="S00411"/>
    <x v="143"/>
    <x v="1"/>
    <x v="391"/>
    <n v="168"/>
    <n v="97"/>
    <x v="11"/>
    <n v="151"/>
    <n v="1"/>
  </r>
  <r>
    <x v="2"/>
    <x v="8"/>
    <s v="S00411"/>
    <x v="145"/>
    <x v="6"/>
    <x v="392"/>
    <n v="403"/>
    <n v="953"/>
    <x v="0"/>
    <n v="1467"/>
    <n v="1"/>
  </r>
  <r>
    <x v="2"/>
    <x v="8"/>
    <s v="S00411"/>
    <x v="5"/>
    <x v="6"/>
    <x v="305"/>
    <n v="577"/>
    <n v="175"/>
    <x v="1"/>
    <n v="280"/>
    <n v="1"/>
  </r>
  <r>
    <x v="2"/>
    <x v="7"/>
    <s v="S00573"/>
    <x v="142"/>
    <x v="3"/>
    <x v="306"/>
    <n v="839"/>
    <n v="334"/>
    <x v="2"/>
    <n v="789"/>
    <n v="1"/>
  </r>
  <r>
    <x v="2"/>
    <x v="7"/>
    <s v="S00501"/>
    <x v="54"/>
    <x v="5"/>
    <x v="307"/>
    <n v="210"/>
    <n v="177"/>
    <x v="3"/>
    <n v="397"/>
    <n v="1"/>
  </r>
  <r>
    <x v="2"/>
    <x v="5"/>
    <s v="S00411"/>
    <x v="105"/>
    <x v="3"/>
    <x v="309"/>
    <n v="93"/>
    <n v="852"/>
    <x v="4"/>
    <n v="961"/>
    <n v="1"/>
  </r>
  <r>
    <x v="2"/>
    <x v="4"/>
    <s v="S00432"/>
    <x v="131"/>
    <x v="2"/>
    <x v="310"/>
    <n v="312"/>
    <n v="983"/>
    <x v="5"/>
    <n v="2104"/>
    <n v="1"/>
  </r>
  <r>
    <x v="2"/>
    <x v="3"/>
    <s v="S00411"/>
    <x v="114"/>
    <x v="2"/>
    <x v="393"/>
    <n v="597"/>
    <n v="287"/>
    <x v="6"/>
    <n v="606"/>
    <n v="1"/>
  </r>
  <r>
    <x v="2"/>
    <x v="7"/>
    <s v="S00411"/>
    <x v="85"/>
    <x v="5"/>
    <x v="311"/>
    <n v="287"/>
    <n v="744"/>
    <x v="7"/>
    <n v="1597"/>
    <n v="1"/>
  </r>
  <r>
    <x v="2"/>
    <x v="1"/>
    <s v="S00411"/>
    <x v="135"/>
    <x v="2"/>
    <x v="312"/>
    <n v="287"/>
    <n v="744"/>
    <x v="8"/>
    <n v="1451"/>
    <n v="1"/>
  </r>
  <r>
    <x v="2"/>
    <x v="0"/>
    <s v="S00411"/>
    <x v="78"/>
    <x v="4"/>
    <x v="313"/>
    <n v="93"/>
    <n v="852"/>
    <x v="9"/>
    <n v="1527"/>
    <n v="1"/>
  </r>
  <r>
    <x v="2"/>
    <x v="2"/>
    <s v="S00411"/>
    <x v="44"/>
    <x v="7"/>
    <x v="315"/>
    <n v="287"/>
    <n v="744"/>
    <x v="10"/>
    <n v="1332"/>
    <n v="1"/>
  </r>
  <r>
    <x v="2"/>
    <x v="7"/>
    <s v="S00411"/>
    <x v="148"/>
    <x v="6"/>
    <x v="316"/>
    <n v="93"/>
    <n v="852"/>
    <x v="11"/>
    <n v="1093"/>
    <n v="1"/>
  </r>
  <r>
    <x v="2"/>
    <x v="6"/>
    <s v="S00411"/>
    <x v="119"/>
    <x v="1"/>
    <x v="316"/>
    <n v="568"/>
    <n v="505"/>
    <x v="0"/>
    <n v="729"/>
    <n v="1"/>
  </r>
  <r>
    <x v="2"/>
    <x v="3"/>
    <s v="S00411"/>
    <x v="167"/>
    <x v="7"/>
    <x v="316"/>
    <n v="577"/>
    <n v="175"/>
    <x v="1"/>
    <n v="331"/>
    <n v="1"/>
  </r>
  <r>
    <x v="2"/>
    <x v="4"/>
    <s v="S00411"/>
    <x v="130"/>
    <x v="3"/>
    <x v="316"/>
    <n v="610"/>
    <n v="970"/>
    <x v="2"/>
    <n v="1505"/>
    <n v="1"/>
  </r>
  <r>
    <x v="2"/>
    <x v="1"/>
    <s v="S00411"/>
    <x v="110"/>
    <x v="2"/>
    <x v="394"/>
    <n v="568"/>
    <n v="505"/>
    <x v="3"/>
    <n v="696"/>
    <n v="1"/>
  </r>
  <r>
    <x v="2"/>
    <x v="9"/>
    <s v="S00411"/>
    <x v="102"/>
    <x v="6"/>
    <x v="318"/>
    <n v="692"/>
    <n v="300"/>
    <x v="4"/>
    <n v="544"/>
    <n v="1"/>
  </r>
  <r>
    <x v="2"/>
    <x v="1"/>
    <s v="S00411"/>
    <x v="71"/>
    <x v="6"/>
    <x v="321"/>
    <n v="168"/>
    <n v="97"/>
    <x v="5"/>
    <n v="208"/>
    <n v="1"/>
  </r>
  <r>
    <x v="2"/>
    <x v="6"/>
    <s v="S00411"/>
    <x v="23"/>
    <x v="7"/>
    <x v="395"/>
    <n v="795"/>
    <n v="469"/>
    <x v="6"/>
    <n v="918"/>
    <n v="1"/>
  </r>
  <r>
    <x v="2"/>
    <x v="6"/>
    <s v="S00411"/>
    <x v="99"/>
    <x v="4"/>
    <x v="324"/>
    <n v="610"/>
    <n v="970"/>
    <x v="7"/>
    <n v="1400"/>
    <n v="1"/>
  </r>
  <r>
    <x v="2"/>
    <x v="0"/>
    <s v="S00411"/>
    <x v="118"/>
    <x v="4"/>
    <x v="396"/>
    <n v="692"/>
    <n v="300"/>
    <x v="8"/>
    <n v="614"/>
    <n v="1"/>
  </r>
  <r>
    <x v="2"/>
    <x v="0"/>
    <s v="S00411"/>
    <x v="63"/>
    <x v="1"/>
    <x v="396"/>
    <n v="968"/>
    <n v="330"/>
    <x v="9"/>
    <n v="819"/>
    <n v="1"/>
  </r>
  <r>
    <x v="2"/>
    <x v="0"/>
    <s v="S00597"/>
    <x v="150"/>
    <x v="1"/>
    <x v="397"/>
    <n v="839"/>
    <n v="983"/>
    <x v="10"/>
    <n v="2276"/>
    <n v="1"/>
  </r>
  <r>
    <x v="2"/>
    <x v="1"/>
    <s v="S00411"/>
    <x v="152"/>
    <x v="5"/>
    <x v="328"/>
    <n v="577"/>
    <n v="175"/>
    <x v="11"/>
    <n v="219"/>
    <n v="1"/>
  </r>
  <r>
    <x v="2"/>
    <x v="7"/>
    <s v="S00411"/>
    <x v="153"/>
    <x v="4"/>
    <x v="331"/>
    <n v="968"/>
    <n v="330"/>
    <x v="0"/>
    <n v="643"/>
    <n v="1"/>
  </r>
  <r>
    <x v="2"/>
    <x v="1"/>
    <s v="S00411"/>
    <x v="47"/>
    <x v="6"/>
    <x v="398"/>
    <n v="168"/>
    <n v="97"/>
    <x v="1"/>
    <n v="216"/>
    <n v="1"/>
  </r>
  <r>
    <x v="2"/>
    <x v="3"/>
    <s v="S00411"/>
    <x v="198"/>
    <x v="3"/>
    <x v="398"/>
    <n v="839"/>
    <n v="334"/>
    <x v="2"/>
    <n v="790"/>
    <n v="1"/>
  </r>
  <r>
    <x v="2"/>
    <x v="0"/>
    <s v="S00411"/>
    <x v="147"/>
    <x v="4"/>
    <x v="333"/>
    <n v="312"/>
    <n v="983"/>
    <x v="3"/>
    <n v="1524"/>
    <n v="1"/>
  </r>
  <r>
    <x v="3"/>
    <x v="9"/>
    <s v="S00597"/>
    <x v="0"/>
    <x v="6"/>
    <x v="399"/>
    <n v="249"/>
    <n v="975"/>
    <x v="4"/>
    <n v="1355"/>
    <n v="1"/>
  </r>
  <r>
    <x v="3"/>
    <x v="3"/>
    <s v="S00597"/>
    <x v="121"/>
    <x v="7"/>
    <x v="400"/>
    <n v="249"/>
    <n v="975"/>
    <x v="5"/>
    <n v="2149"/>
    <n v="1"/>
  </r>
  <r>
    <x v="3"/>
    <x v="2"/>
    <s v="S00689"/>
    <x v="38"/>
    <x v="0"/>
    <x v="341"/>
    <n v="299"/>
    <n v="975"/>
    <x v="6"/>
    <n v="1346"/>
    <n v="1"/>
  </r>
  <r>
    <x v="3"/>
    <x v="1"/>
    <s v="S00663"/>
    <x v="91"/>
    <x v="8"/>
    <x v="170"/>
    <n v="1000"/>
    <n v="597"/>
    <x v="7"/>
    <n v="687"/>
    <n v="1"/>
  </r>
  <r>
    <x v="3"/>
    <x v="7"/>
    <s v="S00663"/>
    <x v="162"/>
    <x v="4"/>
    <x v="401"/>
    <n v="156"/>
    <n v="54"/>
    <x v="8"/>
    <n v="61"/>
    <n v="1"/>
  </r>
  <r>
    <x v="3"/>
    <x v="9"/>
    <s v="S00411"/>
    <x v="58"/>
    <x v="5"/>
    <x v="171"/>
    <n v="342"/>
    <n v="968"/>
    <x v="9"/>
    <n v="1679"/>
    <n v="1"/>
  </r>
  <r>
    <x v="3"/>
    <x v="3"/>
    <s v="S00688"/>
    <x v="34"/>
    <x v="3"/>
    <x v="172"/>
    <n v="537"/>
    <n v="970"/>
    <x v="10"/>
    <n v="1291"/>
    <n v="1"/>
  </r>
  <r>
    <x v="3"/>
    <x v="3"/>
    <s v="S00663"/>
    <x v="150"/>
    <x v="1"/>
    <x v="173"/>
    <n v="232"/>
    <n v="351"/>
    <x v="11"/>
    <n v="874"/>
    <n v="1"/>
  </r>
  <r>
    <x v="3"/>
    <x v="3"/>
    <s v="S00688"/>
    <x v="90"/>
    <x v="0"/>
    <x v="174"/>
    <n v="537"/>
    <n v="970"/>
    <x v="0"/>
    <n v="1373"/>
    <n v="1"/>
  </r>
  <r>
    <x v="3"/>
    <x v="0"/>
    <s v="S00663"/>
    <x v="12"/>
    <x v="1"/>
    <x v="402"/>
    <n v="137"/>
    <n v="784"/>
    <x v="1"/>
    <n v="924"/>
    <n v="1"/>
  </r>
  <r>
    <x v="3"/>
    <x v="2"/>
    <s v="S00663"/>
    <x v="26"/>
    <x v="8"/>
    <x v="175"/>
    <n v="389"/>
    <n v="930"/>
    <x v="2"/>
    <n v="1757"/>
    <n v="1"/>
  </r>
  <r>
    <x v="3"/>
    <x v="7"/>
    <s v="S00759"/>
    <x v="195"/>
    <x v="8"/>
    <x v="175"/>
    <n v="934"/>
    <n v="75"/>
    <x v="3"/>
    <n v="134"/>
    <n v="1"/>
  </r>
  <r>
    <x v="3"/>
    <x v="1"/>
    <s v="S00663"/>
    <x v="65"/>
    <x v="8"/>
    <x v="175"/>
    <n v="1000"/>
    <n v="597"/>
    <x v="4"/>
    <n v="1492"/>
    <n v="1"/>
  </r>
  <r>
    <x v="3"/>
    <x v="1"/>
    <s v="S00759"/>
    <x v="141"/>
    <x v="8"/>
    <x v="175"/>
    <n v="970"/>
    <n v="616"/>
    <x v="5"/>
    <n v="1359"/>
    <n v="1"/>
  </r>
  <r>
    <x v="3"/>
    <x v="2"/>
    <s v="S00432"/>
    <x v="193"/>
    <x v="8"/>
    <x v="175"/>
    <n v="28"/>
    <n v="287"/>
    <x v="6"/>
    <n v="395"/>
    <n v="1"/>
  </r>
  <r>
    <x v="3"/>
    <x v="5"/>
    <s v="S00688"/>
    <x v="3"/>
    <x v="8"/>
    <x v="175"/>
    <n v="98"/>
    <n v="968"/>
    <x v="7"/>
    <n v="1310"/>
    <n v="1"/>
  </r>
  <r>
    <x v="3"/>
    <x v="7"/>
    <s v="S00348"/>
    <x v="152"/>
    <x v="8"/>
    <x v="175"/>
    <n v="851"/>
    <n v="162"/>
    <x v="8"/>
    <n v="285"/>
    <n v="1"/>
  </r>
  <r>
    <x v="3"/>
    <x v="7"/>
    <s v="S00759"/>
    <x v="155"/>
    <x v="8"/>
    <x v="175"/>
    <n v="934"/>
    <n v="75"/>
    <x v="9"/>
    <n v="155"/>
    <n v="1"/>
  </r>
  <r>
    <x v="3"/>
    <x v="2"/>
    <s v="S00663"/>
    <x v="137"/>
    <x v="8"/>
    <x v="175"/>
    <n v="389"/>
    <n v="930"/>
    <x v="10"/>
    <n v="1257"/>
    <n v="1"/>
  </r>
  <r>
    <x v="3"/>
    <x v="1"/>
    <s v="S00663"/>
    <x v="113"/>
    <x v="8"/>
    <x v="175"/>
    <n v="1000"/>
    <n v="597"/>
    <x v="11"/>
    <n v="964"/>
    <n v="1"/>
  </r>
  <r>
    <x v="3"/>
    <x v="2"/>
    <s v="S00432"/>
    <x v="190"/>
    <x v="8"/>
    <x v="175"/>
    <n v="28"/>
    <n v="287"/>
    <x v="0"/>
    <n v="339"/>
    <n v="1"/>
  </r>
  <r>
    <x v="3"/>
    <x v="1"/>
    <s v="S00759"/>
    <x v="89"/>
    <x v="8"/>
    <x v="175"/>
    <n v="970"/>
    <n v="616"/>
    <x v="1"/>
    <n v="863"/>
    <n v="1"/>
  </r>
  <r>
    <x v="3"/>
    <x v="2"/>
    <s v="S00432"/>
    <x v="86"/>
    <x v="8"/>
    <x v="175"/>
    <n v="28"/>
    <n v="287"/>
    <x v="2"/>
    <n v="712"/>
    <n v="1"/>
  </r>
  <r>
    <x v="3"/>
    <x v="2"/>
    <s v="S00432"/>
    <x v="136"/>
    <x v="8"/>
    <x v="175"/>
    <n v="28"/>
    <n v="287"/>
    <x v="3"/>
    <n v="708"/>
    <n v="1"/>
  </r>
  <r>
    <x v="3"/>
    <x v="2"/>
    <s v="S00689"/>
    <x v="74"/>
    <x v="0"/>
    <x v="344"/>
    <n v="299"/>
    <n v="975"/>
    <x v="4"/>
    <n v="1831"/>
    <n v="1"/>
  </r>
  <r>
    <x v="3"/>
    <x v="1"/>
    <s v="S00759"/>
    <x v="17"/>
    <x v="4"/>
    <x v="403"/>
    <n v="150"/>
    <n v="413"/>
    <x v="5"/>
    <n v="1002"/>
    <n v="1"/>
  </r>
  <r>
    <x v="3"/>
    <x v="5"/>
    <s v="S00688"/>
    <x v="126"/>
    <x v="8"/>
    <x v="177"/>
    <n v="98"/>
    <n v="968"/>
    <x v="6"/>
    <n v="1512"/>
    <n v="1"/>
  </r>
  <r>
    <x v="3"/>
    <x v="1"/>
    <s v="S00688"/>
    <x v="198"/>
    <x v="7"/>
    <x v="179"/>
    <n v="268"/>
    <n v="118"/>
    <x v="7"/>
    <n v="157"/>
    <n v="1"/>
  </r>
  <r>
    <x v="3"/>
    <x v="9"/>
    <s v="S00501"/>
    <x v="64"/>
    <x v="4"/>
    <x v="180"/>
    <n v="871"/>
    <n v="810"/>
    <x v="8"/>
    <n v="1787"/>
    <n v="1"/>
  </r>
  <r>
    <x v="3"/>
    <x v="1"/>
    <s v="S00759"/>
    <x v="19"/>
    <x v="2"/>
    <x v="404"/>
    <n v="957"/>
    <n v="210"/>
    <x v="9"/>
    <n v="360"/>
    <n v="1"/>
  </r>
  <r>
    <x v="3"/>
    <x v="6"/>
    <s v="S00348"/>
    <x v="186"/>
    <x v="5"/>
    <x v="345"/>
    <n v="869"/>
    <n v="930"/>
    <x v="10"/>
    <n v="1400"/>
    <n v="1"/>
  </r>
  <r>
    <x v="3"/>
    <x v="3"/>
    <s v="S00689"/>
    <x v="22"/>
    <x v="4"/>
    <x v="405"/>
    <n v="461"/>
    <n v="615"/>
    <x v="11"/>
    <n v="918"/>
    <n v="1"/>
  </r>
  <r>
    <x v="3"/>
    <x v="3"/>
    <s v="S00663"/>
    <x v="28"/>
    <x v="3"/>
    <x v="182"/>
    <n v="166"/>
    <n v="934"/>
    <x v="0"/>
    <n v="1665"/>
    <n v="1"/>
  </r>
  <r>
    <x v="3"/>
    <x v="3"/>
    <s v="S00432"/>
    <x v="92"/>
    <x v="6"/>
    <x v="184"/>
    <n v="597"/>
    <n v="287"/>
    <x v="1"/>
    <n v="341"/>
    <n v="1"/>
  </r>
  <r>
    <x v="3"/>
    <x v="8"/>
    <s v="S00597"/>
    <x v="15"/>
    <x v="6"/>
    <x v="184"/>
    <n v="60"/>
    <n v="849"/>
    <x v="2"/>
    <n v="1276"/>
    <n v="1"/>
  </r>
  <r>
    <x v="3"/>
    <x v="9"/>
    <s v="S00597"/>
    <x v="109"/>
    <x v="6"/>
    <x v="184"/>
    <n v="515"/>
    <n v="210"/>
    <x v="3"/>
    <n v="242"/>
    <n v="1"/>
  </r>
  <r>
    <x v="3"/>
    <x v="9"/>
    <s v="S00663"/>
    <x v="147"/>
    <x v="6"/>
    <x v="184"/>
    <n v="734"/>
    <n v="568"/>
    <x v="4"/>
    <n v="1247"/>
    <n v="1"/>
  </r>
  <r>
    <x v="3"/>
    <x v="9"/>
    <s v="S00689"/>
    <x v="165"/>
    <x v="6"/>
    <x v="184"/>
    <n v="749"/>
    <n v="648"/>
    <x v="5"/>
    <n v="1055"/>
    <n v="1"/>
  </r>
  <r>
    <x v="3"/>
    <x v="9"/>
    <s v="S00663"/>
    <x v="83"/>
    <x v="6"/>
    <x v="184"/>
    <n v="734"/>
    <n v="568"/>
    <x v="6"/>
    <n v="1035"/>
    <n v="1"/>
  </r>
  <r>
    <x v="3"/>
    <x v="9"/>
    <s v="S00759"/>
    <x v="67"/>
    <x v="6"/>
    <x v="184"/>
    <n v="479"/>
    <n v="934"/>
    <x v="7"/>
    <n v="1300"/>
    <n v="1"/>
  </r>
  <r>
    <x v="3"/>
    <x v="9"/>
    <s v="S00411"/>
    <x v="154"/>
    <x v="6"/>
    <x v="184"/>
    <n v="774"/>
    <n v="33"/>
    <x v="8"/>
    <n v="81"/>
    <n v="1"/>
  </r>
  <r>
    <x v="3"/>
    <x v="5"/>
    <s v="S00663"/>
    <x v="27"/>
    <x v="3"/>
    <x v="406"/>
    <n v="849"/>
    <n v="156"/>
    <x v="9"/>
    <n v="197"/>
    <n v="1"/>
  </r>
  <r>
    <x v="3"/>
    <x v="9"/>
    <s v="S00501"/>
    <x v="16"/>
    <x v="4"/>
    <x v="185"/>
    <n v="871"/>
    <n v="810"/>
    <x v="10"/>
    <n v="1964"/>
    <n v="1"/>
  </r>
  <r>
    <x v="3"/>
    <x v="3"/>
    <s v="S00573"/>
    <x v="70"/>
    <x v="4"/>
    <x v="186"/>
    <n v="61"/>
    <n v="28"/>
    <x v="11"/>
    <n v="36"/>
    <n v="1"/>
  </r>
  <r>
    <x v="3"/>
    <x v="1"/>
    <s v="S00759"/>
    <x v="133"/>
    <x v="1"/>
    <x v="189"/>
    <n v="957"/>
    <n v="210"/>
    <x v="0"/>
    <n v="434"/>
    <n v="1"/>
  </r>
  <r>
    <x v="3"/>
    <x v="5"/>
    <s v="S00432"/>
    <x v="11"/>
    <x v="7"/>
    <x v="190"/>
    <n v="351"/>
    <n v="918"/>
    <x v="1"/>
    <n v="2061"/>
    <n v="1"/>
  </r>
  <r>
    <x v="3"/>
    <x v="4"/>
    <s v="S00432"/>
    <x v="14"/>
    <x v="5"/>
    <x v="191"/>
    <n v="573"/>
    <n v="784"/>
    <x v="2"/>
    <n v="1931"/>
    <n v="1"/>
  </r>
  <r>
    <x v="3"/>
    <x v="6"/>
    <s v="S00348"/>
    <x v="182"/>
    <x v="5"/>
    <x v="191"/>
    <n v="869"/>
    <n v="930"/>
    <x v="3"/>
    <n v="1754"/>
    <n v="1"/>
  </r>
  <r>
    <x v="3"/>
    <x v="9"/>
    <s v="S00432"/>
    <x v="177"/>
    <x v="5"/>
    <x v="191"/>
    <n v="810"/>
    <n v="657"/>
    <x v="4"/>
    <n v="1563"/>
    <n v="1"/>
  </r>
  <r>
    <x v="3"/>
    <x v="7"/>
    <s v="S00411"/>
    <x v="156"/>
    <x v="6"/>
    <x v="191"/>
    <n v="616"/>
    <n v="398"/>
    <x v="5"/>
    <n v="605"/>
    <n v="1"/>
  </r>
  <r>
    <x v="3"/>
    <x v="7"/>
    <s v="S00411"/>
    <x v="189"/>
    <x v="6"/>
    <x v="191"/>
    <n v="616"/>
    <n v="398"/>
    <x v="6"/>
    <n v="954"/>
    <n v="1"/>
  </r>
  <r>
    <x v="3"/>
    <x v="6"/>
    <s v="S00573"/>
    <x v="78"/>
    <x v="6"/>
    <x v="191"/>
    <n v="591"/>
    <n v="810"/>
    <x v="7"/>
    <n v="1220"/>
    <n v="1"/>
  </r>
  <r>
    <x v="3"/>
    <x v="9"/>
    <s v="S00432"/>
    <x v="148"/>
    <x v="4"/>
    <x v="191"/>
    <n v="810"/>
    <n v="657"/>
    <x v="8"/>
    <n v="1592"/>
    <n v="1"/>
  </r>
  <r>
    <x v="3"/>
    <x v="3"/>
    <s v="S00688"/>
    <x v="13"/>
    <x v="4"/>
    <x v="191"/>
    <n v="537"/>
    <n v="970"/>
    <x v="9"/>
    <n v="2264"/>
    <n v="1"/>
  </r>
  <r>
    <x v="3"/>
    <x v="1"/>
    <s v="S00688"/>
    <x v="160"/>
    <x v="1"/>
    <x v="191"/>
    <n v="268"/>
    <n v="118"/>
    <x v="10"/>
    <n v="248"/>
    <n v="1"/>
  </r>
  <r>
    <x v="3"/>
    <x v="8"/>
    <s v="S00597"/>
    <x v="39"/>
    <x v="1"/>
    <x v="191"/>
    <n v="60"/>
    <n v="849"/>
    <x v="11"/>
    <n v="1112"/>
    <n v="1"/>
  </r>
  <r>
    <x v="3"/>
    <x v="1"/>
    <s v="S00759"/>
    <x v="8"/>
    <x v="1"/>
    <x v="191"/>
    <n v="150"/>
    <n v="413"/>
    <x v="0"/>
    <n v="1030"/>
    <n v="1"/>
  </r>
  <r>
    <x v="3"/>
    <x v="4"/>
    <s v="S00689"/>
    <x v="29"/>
    <x v="7"/>
    <x v="191"/>
    <n v="843"/>
    <n v="839"/>
    <x v="1"/>
    <n v="1368"/>
    <n v="1"/>
  </r>
  <r>
    <x v="3"/>
    <x v="8"/>
    <s v="S00348"/>
    <x v="151"/>
    <x v="3"/>
    <x v="191"/>
    <n v="929"/>
    <n v="590"/>
    <x v="2"/>
    <n v="1206"/>
    <n v="1"/>
  </r>
  <r>
    <x v="3"/>
    <x v="2"/>
    <s v="S00663"/>
    <x v="5"/>
    <x v="3"/>
    <x v="191"/>
    <n v="389"/>
    <n v="930"/>
    <x v="3"/>
    <n v="2114"/>
    <n v="1"/>
  </r>
  <r>
    <x v="3"/>
    <x v="0"/>
    <s v="S00411"/>
    <x v="48"/>
    <x v="3"/>
    <x v="191"/>
    <n v="256"/>
    <n v="839"/>
    <x v="4"/>
    <n v="1400"/>
    <n v="1"/>
  </r>
  <r>
    <x v="3"/>
    <x v="7"/>
    <s v="S00573"/>
    <x v="7"/>
    <x v="0"/>
    <x v="191"/>
    <n v="739"/>
    <n v="105"/>
    <x v="5"/>
    <n v="195"/>
    <n v="1"/>
  </r>
  <r>
    <x v="3"/>
    <x v="3"/>
    <s v="S00501"/>
    <x v="59"/>
    <x v="0"/>
    <x v="191"/>
    <n v="975"/>
    <n v="282"/>
    <x v="6"/>
    <n v="609"/>
    <n v="1"/>
  </r>
  <r>
    <x v="3"/>
    <x v="3"/>
    <s v="S00432"/>
    <x v="20"/>
    <x v="0"/>
    <x v="191"/>
    <n v="86"/>
    <n v="232"/>
    <x v="7"/>
    <n v="272"/>
    <n v="1"/>
  </r>
  <r>
    <x v="3"/>
    <x v="2"/>
    <s v="S00411"/>
    <x v="196"/>
    <x v="0"/>
    <x v="191"/>
    <n v="386"/>
    <n v="287"/>
    <x v="8"/>
    <n v="600"/>
    <n v="1"/>
  </r>
  <r>
    <x v="3"/>
    <x v="6"/>
    <s v="S00573"/>
    <x v="31"/>
    <x v="7"/>
    <x v="407"/>
    <n v="591"/>
    <n v="810"/>
    <x v="9"/>
    <n v="907"/>
    <n v="1"/>
  </r>
  <r>
    <x v="3"/>
    <x v="7"/>
    <s v="S00597"/>
    <x v="2"/>
    <x v="6"/>
    <x v="193"/>
    <n v="515"/>
    <n v="210"/>
    <x v="10"/>
    <n v="328"/>
    <n v="1"/>
  </r>
  <r>
    <x v="3"/>
    <x v="2"/>
    <s v="S00689"/>
    <x v="33"/>
    <x v="3"/>
    <x v="408"/>
    <n v="299"/>
    <n v="975"/>
    <x v="11"/>
    <n v="1865"/>
    <n v="1"/>
  </r>
  <r>
    <x v="3"/>
    <x v="8"/>
    <s v="S00597"/>
    <x v="1"/>
    <x v="6"/>
    <x v="195"/>
    <n v="60"/>
    <n v="849"/>
    <x v="0"/>
    <n v="1850"/>
    <n v="1"/>
  </r>
  <r>
    <x v="3"/>
    <x v="7"/>
    <s v="S00663"/>
    <x v="188"/>
    <x v="4"/>
    <x v="197"/>
    <n v="156"/>
    <n v="54"/>
    <x v="1"/>
    <n v="108"/>
    <n v="1"/>
  </r>
  <r>
    <x v="3"/>
    <x v="6"/>
    <s v="S00663"/>
    <x v="149"/>
    <x v="1"/>
    <x v="198"/>
    <n v="873"/>
    <n v="287"/>
    <x v="2"/>
    <n v="431"/>
    <n v="1"/>
  </r>
  <r>
    <x v="3"/>
    <x v="7"/>
    <s v="S00663"/>
    <x v="35"/>
    <x v="3"/>
    <x v="409"/>
    <n v="610"/>
    <n v="851"/>
    <x v="3"/>
    <n v="1866"/>
    <n v="1"/>
  </r>
  <r>
    <x v="3"/>
    <x v="7"/>
    <s v="S00432"/>
    <x v="161"/>
    <x v="3"/>
    <x v="201"/>
    <n v="601"/>
    <n v="413"/>
    <x v="4"/>
    <n v="950"/>
    <n v="1"/>
  </r>
  <r>
    <x v="3"/>
    <x v="7"/>
    <s v="S00663"/>
    <x v="110"/>
    <x v="4"/>
    <x v="349"/>
    <n v="156"/>
    <n v="54"/>
    <x v="5"/>
    <n v="133"/>
    <n v="1"/>
  </r>
  <r>
    <x v="3"/>
    <x v="9"/>
    <s v="S00432"/>
    <x v="21"/>
    <x v="1"/>
    <x v="202"/>
    <n v="962"/>
    <n v="28"/>
    <x v="6"/>
    <n v="66"/>
    <n v="1"/>
  </r>
  <r>
    <x v="3"/>
    <x v="5"/>
    <s v="S00432"/>
    <x v="169"/>
    <x v="7"/>
    <x v="204"/>
    <n v="351"/>
    <n v="918"/>
    <x v="7"/>
    <n v="1658"/>
    <n v="1"/>
  </r>
  <r>
    <x v="3"/>
    <x v="9"/>
    <s v="S00411"/>
    <x v="45"/>
    <x v="5"/>
    <x v="410"/>
    <n v="342"/>
    <n v="968"/>
    <x v="8"/>
    <n v="1754"/>
    <n v="1"/>
  </r>
  <r>
    <x v="3"/>
    <x v="9"/>
    <s v="S00663"/>
    <x v="6"/>
    <x v="6"/>
    <x v="208"/>
    <n v="734"/>
    <n v="568"/>
    <x v="9"/>
    <n v="1263"/>
    <n v="1"/>
  </r>
  <r>
    <x v="3"/>
    <x v="2"/>
    <s v="S00663"/>
    <x v="132"/>
    <x v="8"/>
    <x v="411"/>
    <n v="389"/>
    <n v="930"/>
    <x v="10"/>
    <n v="1734"/>
    <n v="1"/>
  </r>
  <r>
    <x v="3"/>
    <x v="1"/>
    <s v="S00663"/>
    <x v="47"/>
    <x v="1"/>
    <x v="412"/>
    <n v="1000"/>
    <n v="597"/>
    <x v="11"/>
    <n v="894"/>
    <n v="1"/>
  </r>
  <r>
    <x v="3"/>
    <x v="3"/>
    <s v="S00688"/>
    <x v="101"/>
    <x v="0"/>
    <x v="354"/>
    <n v="537"/>
    <n v="970"/>
    <x v="0"/>
    <n v="1312"/>
    <n v="1"/>
  </r>
  <r>
    <x v="3"/>
    <x v="8"/>
    <s v="S00348"/>
    <x v="97"/>
    <x v="5"/>
    <x v="211"/>
    <n v="929"/>
    <n v="590"/>
    <x v="1"/>
    <n v="1125"/>
    <n v="1"/>
  </r>
  <r>
    <x v="3"/>
    <x v="7"/>
    <s v="S00663"/>
    <x v="54"/>
    <x v="3"/>
    <x v="215"/>
    <n v="610"/>
    <n v="851"/>
    <x v="2"/>
    <n v="1208"/>
    <n v="1"/>
  </r>
  <r>
    <x v="3"/>
    <x v="0"/>
    <s v="S00663"/>
    <x v="56"/>
    <x v="4"/>
    <x v="413"/>
    <n v="137"/>
    <n v="784"/>
    <x v="3"/>
    <n v="1185"/>
    <n v="1"/>
  </r>
  <r>
    <x v="3"/>
    <x v="3"/>
    <s v="S00689"/>
    <x v="140"/>
    <x v="4"/>
    <x v="356"/>
    <n v="461"/>
    <n v="615"/>
    <x v="4"/>
    <n v="1150"/>
    <n v="1"/>
  </r>
  <r>
    <x v="3"/>
    <x v="0"/>
    <s v="S00501"/>
    <x v="18"/>
    <x v="4"/>
    <x v="216"/>
    <n v="615"/>
    <n v="851"/>
    <x v="5"/>
    <n v="1237"/>
    <n v="1"/>
  </r>
  <r>
    <x v="3"/>
    <x v="2"/>
    <s v="S00411"/>
    <x v="9"/>
    <x v="3"/>
    <x v="217"/>
    <n v="774"/>
    <n v="33"/>
    <x v="6"/>
    <n v="61"/>
    <n v="1"/>
  </r>
  <r>
    <x v="3"/>
    <x v="1"/>
    <s v="S00759"/>
    <x v="32"/>
    <x v="5"/>
    <x v="218"/>
    <n v="957"/>
    <n v="210"/>
    <x v="7"/>
    <n v="371"/>
    <n v="1"/>
  </r>
  <r>
    <x v="3"/>
    <x v="7"/>
    <s v="S00759"/>
    <x v="167"/>
    <x v="8"/>
    <x v="414"/>
    <n v="934"/>
    <n v="75"/>
    <x v="8"/>
    <n v="170"/>
    <n v="1"/>
  </r>
  <r>
    <x v="3"/>
    <x v="9"/>
    <s v="S00501"/>
    <x v="115"/>
    <x v="4"/>
    <x v="415"/>
    <n v="871"/>
    <n v="810"/>
    <x v="9"/>
    <n v="1976"/>
    <n v="1"/>
  </r>
  <r>
    <x v="3"/>
    <x v="0"/>
    <s v="S00663"/>
    <x v="37"/>
    <x v="1"/>
    <x v="360"/>
    <n v="137"/>
    <n v="784"/>
    <x v="10"/>
    <n v="1134"/>
    <n v="1"/>
  </r>
  <r>
    <x v="3"/>
    <x v="8"/>
    <s v="S00597"/>
    <x v="123"/>
    <x v="6"/>
    <x v="220"/>
    <n v="60"/>
    <n v="849"/>
    <x v="11"/>
    <n v="1570"/>
    <n v="1"/>
  </r>
  <r>
    <x v="3"/>
    <x v="3"/>
    <s v="S00432"/>
    <x v="120"/>
    <x v="6"/>
    <x v="220"/>
    <n v="597"/>
    <n v="287"/>
    <x v="0"/>
    <n v="554"/>
    <n v="1"/>
  </r>
  <r>
    <x v="3"/>
    <x v="3"/>
    <s v="S00573"/>
    <x v="114"/>
    <x v="4"/>
    <x v="220"/>
    <n v="61"/>
    <n v="28"/>
    <x v="1"/>
    <n v="34"/>
    <n v="1"/>
  </r>
  <r>
    <x v="3"/>
    <x v="8"/>
    <s v="S00689"/>
    <x v="130"/>
    <x v="6"/>
    <x v="221"/>
    <n v="749"/>
    <n v="648"/>
    <x v="2"/>
    <n v="1255"/>
    <n v="1"/>
  </r>
  <r>
    <x v="3"/>
    <x v="3"/>
    <s v="S00663"/>
    <x v="142"/>
    <x v="1"/>
    <x v="223"/>
    <n v="232"/>
    <n v="351"/>
    <x v="3"/>
    <n v="722"/>
    <n v="1"/>
  </r>
  <r>
    <x v="3"/>
    <x v="5"/>
    <s v="S00663"/>
    <x v="77"/>
    <x v="5"/>
    <x v="416"/>
    <n v="499"/>
    <n v="568"/>
    <x v="4"/>
    <n v="787"/>
    <n v="1"/>
  </r>
  <r>
    <x v="3"/>
    <x v="8"/>
    <s v="S00411"/>
    <x v="62"/>
    <x v="4"/>
    <x v="363"/>
    <n v="590"/>
    <n v="268"/>
    <x v="5"/>
    <n v="430"/>
    <n v="1"/>
  </r>
  <r>
    <x v="3"/>
    <x v="2"/>
    <s v="S00411"/>
    <x v="172"/>
    <x v="1"/>
    <x v="417"/>
    <n v="386"/>
    <n v="287"/>
    <x v="6"/>
    <n v="426"/>
    <n v="1"/>
  </r>
  <r>
    <x v="3"/>
    <x v="8"/>
    <s v="S00432"/>
    <x v="157"/>
    <x v="1"/>
    <x v="364"/>
    <n v="105"/>
    <n v="924"/>
    <x v="7"/>
    <n v="1345"/>
    <n v="1"/>
  </r>
  <r>
    <x v="3"/>
    <x v="7"/>
    <s v="S00573"/>
    <x v="93"/>
    <x v="7"/>
    <x v="225"/>
    <n v="739"/>
    <n v="105"/>
    <x v="8"/>
    <n v="125"/>
    <n v="1"/>
  </r>
  <r>
    <x v="3"/>
    <x v="3"/>
    <s v="S00597"/>
    <x v="42"/>
    <x v="7"/>
    <x v="226"/>
    <n v="249"/>
    <n v="975"/>
    <x v="9"/>
    <n v="1296"/>
    <n v="1"/>
  </r>
  <r>
    <x v="3"/>
    <x v="4"/>
    <s v="S00432"/>
    <x v="173"/>
    <x v="0"/>
    <x v="228"/>
    <n v="573"/>
    <n v="784"/>
    <x v="10"/>
    <n v="1885"/>
    <n v="1"/>
  </r>
  <r>
    <x v="3"/>
    <x v="1"/>
    <s v="S00688"/>
    <x v="158"/>
    <x v="7"/>
    <x v="229"/>
    <n v="268"/>
    <n v="118"/>
    <x v="11"/>
    <n v="246"/>
    <n v="1"/>
  </r>
  <r>
    <x v="3"/>
    <x v="3"/>
    <s v="S00501"/>
    <x v="175"/>
    <x v="1"/>
    <x v="418"/>
    <n v="975"/>
    <n v="282"/>
    <x v="0"/>
    <n v="374"/>
    <n v="1"/>
  </r>
  <r>
    <x v="3"/>
    <x v="3"/>
    <s v="S00432"/>
    <x v="46"/>
    <x v="0"/>
    <x v="230"/>
    <n v="86"/>
    <n v="232"/>
    <x v="1"/>
    <n v="369"/>
    <n v="1"/>
  </r>
  <r>
    <x v="3"/>
    <x v="2"/>
    <s v="S00411"/>
    <x v="10"/>
    <x v="3"/>
    <x v="231"/>
    <n v="774"/>
    <n v="33"/>
    <x v="2"/>
    <n v="72"/>
    <n v="1"/>
  </r>
  <r>
    <x v="3"/>
    <x v="5"/>
    <s v="S00688"/>
    <x v="88"/>
    <x v="8"/>
    <x v="419"/>
    <n v="98"/>
    <n v="968"/>
    <x v="3"/>
    <n v="1597"/>
    <n v="1"/>
  </r>
  <r>
    <x v="3"/>
    <x v="9"/>
    <s v="S00411"/>
    <x v="170"/>
    <x v="5"/>
    <x v="365"/>
    <n v="342"/>
    <n v="968"/>
    <x v="4"/>
    <n v="1702"/>
    <n v="1"/>
  </r>
  <r>
    <x v="3"/>
    <x v="7"/>
    <s v="S00759"/>
    <x v="36"/>
    <x v="5"/>
    <x v="367"/>
    <n v="479"/>
    <n v="934"/>
    <x v="5"/>
    <n v="1791"/>
    <n v="1"/>
  </r>
  <r>
    <x v="3"/>
    <x v="6"/>
    <s v="S00348"/>
    <x v="197"/>
    <x v="5"/>
    <x v="234"/>
    <n v="869"/>
    <n v="930"/>
    <x v="6"/>
    <n v="2317"/>
    <n v="1"/>
  </r>
  <r>
    <x v="3"/>
    <x v="7"/>
    <s v="S00597"/>
    <x v="4"/>
    <x v="6"/>
    <x v="234"/>
    <n v="515"/>
    <n v="210"/>
    <x v="7"/>
    <n v="347"/>
    <n v="1"/>
  </r>
  <r>
    <x v="3"/>
    <x v="1"/>
    <s v="S00759"/>
    <x v="24"/>
    <x v="8"/>
    <x v="234"/>
    <n v="970"/>
    <n v="616"/>
    <x v="8"/>
    <n v="1335"/>
    <n v="1"/>
  </r>
  <r>
    <x v="3"/>
    <x v="9"/>
    <s v="S00663"/>
    <x v="41"/>
    <x v="6"/>
    <x v="235"/>
    <n v="734"/>
    <n v="568"/>
    <x v="9"/>
    <n v="1091"/>
    <n v="1"/>
  </r>
  <r>
    <x v="3"/>
    <x v="8"/>
    <s v="S00348"/>
    <x v="25"/>
    <x v="5"/>
    <x v="236"/>
    <n v="929"/>
    <n v="590"/>
    <x v="10"/>
    <n v="929"/>
    <n v="1"/>
  </r>
  <r>
    <x v="3"/>
    <x v="3"/>
    <s v="S00689"/>
    <x v="69"/>
    <x v="4"/>
    <x v="369"/>
    <n v="461"/>
    <n v="615"/>
    <x v="11"/>
    <n v="1333"/>
    <n v="1"/>
  </r>
  <r>
    <x v="3"/>
    <x v="6"/>
    <s v="S00573"/>
    <x v="131"/>
    <x v="7"/>
    <x v="237"/>
    <n v="591"/>
    <n v="810"/>
    <x v="0"/>
    <n v="927"/>
    <n v="1"/>
  </r>
  <r>
    <x v="3"/>
    <x v="7"/>
    <s v="S00411"/>
    <x v="194"/>
    <x v="4"/>
    <x v="238"/>
    <n v="616"/>
    <n v="398"/>
    <x v="1"/>
    <n v="857"/>
    <n v="1"/>
  </r>
  <r>
    <x v="3"/>
    <x v="4"/>
    <s v="S00688"/>
    <x v="100"/>
    <x v="3"/>
    <x v="420"/>
    <n v="911"/>
    <n v="105"/>
    <x v="2"/>
    <n v="238"/>
    <n v="1"/>
  </r>
  <r>
    <x v="3"/>
    <x v="4"/>
    <s v="S00688"/>
    <x v="85"/>
    <x v="3"/>
    <x v="239"/>
    <n v="911"/>
    <n v="105"/>
    <x v="3"/>
    <n v="256"/>
    <n v="1"/>
  </r>
  <r>
    <x v="3"/>
    <x v="2"/>
    <s v="S00411"/>
    <x v="181"/>
    <x v="0"/>
    <x v="242"/>
    <n v="386"/>
    <n v="287"/>
    <x v="4"/>
    <n v="342"/>
    <n v="1"/>
  </r>
  <r>
    <x v="3"/>
    <x v="9"/>
    <s v="S00432"/>
    <x v="104"/>
    <x v="1"/>
    <x v="421"/>
    <n v="962"/>
    <n v="28"/>
    <x v="5"/>
    <n v="42"/>
    <n v="1"/>
  </r>
  <r>
    <x v="3"/>
    <x v="7"/>
    <s v="S00663"/>
    <x v="174"/>
    <x v="4"/>
    <x v="371"/>
    <n v="156"/>
    <n v="54"/>
    <x v="6"/>
    <n v="98"/>
    <n v="1"/>
  </r>
  <r>
    <x v="3"/>
    <x v="0"/>
    <s v="S00501"/>
    <x v="40"/>
    <x v="4"/>
    <x v="245"/>
    <n v="615"/>
    <n v="851"/>
    <x v="7"/>
    <n v="1535"/>
    <n v="1"/>
  </r>
  <r>
    <x v="3"/>
    <x v="7"/>
    <s v="S00759"/>
    <x v="179"/>
    <x v="3"/>
    <x v="422"/>
    <n v="934"/>
    <n v="75"/>
    <x v="8"/>
    <n v="174"/>
    <n v="1"/>
  </r>
  <r>
    <x v="3"/>
    <x v="7"/>
    <s v="S00432"/>
    <x v="159"/>
    <x v="3"/>
    <x v="250"/>
    <n v="601"/>
    <n v="413"/>
    <x v="9"/>
    <n v="772"/>
    <n v="1"/>
  </r>
  <r>
    <x v="3"/>
    <x v="5"/>
    <s v="S00663"/>
    <x v="129"/>
    <x v="5"/>
    <x v="376"/>
    <n v="499"/>
    <n v="568"/>
    <x v="10"/>
    <n v="1295"/>
    <n v="1"/>
  </r>
  <r>
    <x v="3"/>
    <x v="3"/>
    <s v="S00689"/>
    <x v="112"/>
    <x v="4"/>
    <x v="423"/>
    <n v="461"/>
    <n v="615"/>
    <x v="11"/>
    <n v="693"/>
    <n v="1"/>
  </r>
  <r>
    <x v="3"/>
    <x v="3"/>
    <s v="S00573"/>
    <x v="82"/>
    <x v="4"/>
    <x v="379"/>
    <n v="61"/>
    <n v="28"/>
    <x v="0"/>
    <n v="62"/>
    <n v="1"/>
  </r>
  <r>
    <x v="3"/>
    <x v="8"/>
    <s v="S00432"/>
    <x v="183"/>
    <x v="5"/>
    <x v="424"/>
    <n v="105"/>
    <n v="924"/>
    <x v="1"/>
    <n v="1903"/>
    <n v="1"/>
  </r>
  <r>
    <x v="3"/>
    <x v="1"/>
    <s v="S00759"/>
    <x v="80"/>
    <x v="5"/>
    <x v="255"/>
    <n v="957"/>
    <n v="210"/>
    <x v="2"/>
    <n v="237"/>
    <n v="1"/>
  </r>
  <r>
    <x v="3"/>
    <x v="1"/>
    <s v="S00759"/>
    <x v="118"/>
    <x v="3"/>
    <x v="425"/>
    <n v="150"/>
    <n v="413"/>
    <x v="3"/>
    <n v="1028"/>
    <n v="1"/>
  </r>
  <r>
    <x v="3"/>
    <x v="7"/>
    <s v="S00663"/>
    <x v="122"/>
    <x v="3"/>
    <x v="426"/>
    <n v="610"/>
    <n v="851"/>
    <x v="4"/>
    <n v="1830"/>
    <n v="1"/>
  </r>
  <r>
    <x v="3"/>
    <x v="0"/>
    <s v="S00411"/>
    <x v="185"/>
    <x v="5"/>
    <x v="427"/>
    <n v="256"/>
    <n v="839"/>
    <x v="5"/>
    <n v="1280"/>
    <n v="1"/>
  </r>
  <r>
    <x v="3"/>
    <x v="7"/>
    <s v="S00597"/>
    <x v="124"/>
    <x v="4"/>
    <x v="428"/>
    <n v="515"/>
    <n v="210"/>
    <x v="6"/>
    <n v="440"/>
    <n v="1"/>
  </r>
  <r>
    <x v="3"/>
    <x v="7"/>
    <s v="S00573"/>
    <x v="125"/>
    <x v="3"/>
    <x v="429"/>
    <n v="739"/>
    <n v="105"/>
    <x v="7"/>
    <n v="256"/>
    <n v="1"/>
  </r>
  <r>
    <x v="3"/>
    <x v="6"/>
    <s v="S00348"/>
    <x v="163"/>
    <x v="5"/>
    <x v="259"/>
    <n v="869"/>
    <n v="930"/>
    <x v="8"/>
    <n v="2150"/>
    <n v="1"/>
  </r>
  <r>
    <x v="3"/>
    <x v="9"/>
    <s v="S00432"/>
    <x v="127"/>
    <x v="1"/>
    <x v="261"/>
    <n v="962"/>
    <n v="28"/>
    <x v="9"/>
    <n v="40"/>
    <n v="1"/>
  </r>
  <r>
    <x v="3"/>
    <x v="0"/>
    <s v="S00501"/>
    <x v="50"/>
    <x v="4"/>
    <x v="262"/>
    <n v="615"/>
    <n v="851"/>
    <x v="10"/>
    <n v="1172"/>
    <n v="1"/>
  </r>
  <r>
    <x v="3"/>
    <x v="0"/>
    <s v="S00501"/>
    <x v="51"/>
    <x v="4"/>
    <x v="265"/>
    <n v="615"/>
    <n v="851"/>
    <x v="11"/>
    <n v="1025"/>
    <n v="1"/>
  </r>
  <r>
    <x v="3"/>
    <x v="8"/>
    <s v="S00432"/>
    <x v="119"/>
    <x v="1"/>
    <x v="266"/>
    <n v="105"/>
    <n v="924"/>
    <x v="0"/>
    <n v="1517"/>
    <n v="1"/>
  </r>
  <r>
    <x v="3"/>
    <x v="3"/>
    <s v="S00432"/>
    <x v="68"/>
    <x v="0"/>
    <x v="267"/>
    <n v="86"/>
    <n v="232"/>
    <x v="1"/>
    <n v="391"/>
    <n v="1"/>
  </r>
  <r>
    <x v="3"/>
    <x v="1"/>
    <s v="S00759"/>
    <x v="49"/>
    <x v="8"/>
    <x v="269"/>
    <n v="970"/>
    <n v="616"/>
    <x v="2"/>
    <n v="1097"/>
    <n v="1"/>
  </r>
  <r>
    <x v="3"/>
    <x v="1"/>
    <s v="S00759"/>
    <x v="43"/>
    <x v="4"/>
    <x v="272"/>
    <n v="150"/>
    <n v="413"/>
    <x v="3"/>
    <n v="703"/>
    <n v="1"/>
  </r>
  <r>
    <x v="3"/>
    <x v="6"/>
    <s v="S00663"/>
    <x v="95"/>
    <x v="1"/>
    <x v="272"/>
    <n v="873"/>
    <n v="287"/>
    <x v="4"/>
    <n v="586"/>
    <n v="1"/>
  </r>
  <r>
    <x v="3"/>
    <x v="3"/>
    <s v="S00501"/>
    <x v="63"/>
    <x v="1"/>
    <x v="272"/>
    <n v="975"/>
    <n v="282"/>
    <x v="5"/>
    <n v="369"/>
    <n v="1"/>
  </r>
  <r>
    <x v="3"/>
    <x v="7"/>
    <s v="S00759"/>
    <x v="117"/>
    <x v="4"/>
    <x v="274"/>
    <n v="479"/>
    <n v="934"/>
    <x v="6"/>
    <n v="1429"/>
    <n v="1"/>
  </r>
  <r>
    <x v="3"/>
    <x v="4"/>
    <s v="S00689"/>
    <x v="99"/>
    <x v="4"/>
    <x v="275"/>
    <n v="843"/>
    <n v="839"/>
    <x v="7"/>
    <n v="1464"/>
    <n v="1"/>
  </r>
  <r>
    <x v="3"/>
    <x v="0"/>
    <s v="S00663"/>
    <x v="116"/>
    <x v="1"/>
    <x v="276"/>
    <n v="137"/>
    <n v="784"/>
    <x v="8"/>
    <n v="1180"/>
    <n v="1"/>
  </r>
  <r>
    <x v="3"/>
    <x v="2"/>
    <s v="S00411"/>
    <x v="108"/>
    <x v="3"/>
    <x v="382"/>
    <n v="774"/>
    <n v="33"/>
    <x v="9"/>
    <n v="46"/>
    <n v="1"/>
  </r>
  <r>
    <x v="3"/>
    <x v="4"/>
    <s v="S00432"/>
    <x v="102"/>
    <x v="3"/>
    <x v="277"/>
    <n v="573"/>
    <n v="784"/>
    <x v="10"/>
    <n v="1029"/>
    <n v="1"/>
  </r>
  <r>
    <x v="3"/>
    <x v="8"/>
    <s v="S00411"/>
    <x v="44"/>
    <x v="4"/>
    <x v="279"/>
    <n v="590"/>
    <n v="268"/>
    <x v="11"/>
    <n v="467"/>
    <n v="1"/>
  </r>
  <r>
    <x v="3"/>
    <x v="7"/>
    <s v="S00573"/>
    <x v="52"/>
    <x v="7"/>
    <x v="281"/>
    <n v="739"/>
    <n v="105"/>
    <x v="0"/>
    <n v="213"/>
    <n v="1"/>
  </r>
  <r>
    <x v="3"/>
    <x v="7"/>
    <s v="S00663"/>
    <x v="134"/>
    <x v="3"/>
    <x v="430"/>
    <n v="610"/>
    <n v="851"/>
    <x v="1"/>
    <n v="1105"/>
    <n v="1"/>
  </r>
  <r>
    <x v="3"/>
    <x v="4"/>
    <s v="S00689"/>
    <x v="146"/>
    <x v="4"/>
    <x v="291"/>
    <n v="843"/>
    <n v="839"/>
    <x v="2"/>
    <n v="1938"/>
    <n v="1"/>
  </r>
  <r>
    <x v="3"/>
    <x v="8"/>
    <s v="S00411"/>
    <x v="139"/>
    <x v="1"/>
    <x v="431"/>
    <n v="590"/>
    <n v="268"/>
    <x v="3"/>
    <n v="662"/>
    <n v="1"/>
  </r>
  <r>
    <x v="3"/>
    <x v="2"/>
    <s v="S00689"/>
    <x v="81"/>
    <x v="0"/>
    <x v="385"/>
    <n v="299"/>
    <n v="975"/>
    <x v="4"/>
    <n v="1533"/>
    <n v="1"/>
  </r>
  <r>
    <x v="3"/>
    <x v="8"/>
    <s v="S00348"/>
    <x v="128"/>
    <x v="5"/>
    <x v="386"/>
    <n v="929"/>
    <n v="590"/>
    <x v="5"/>
    <n v="785"/>
    <n v="1"/>
  </r>
  <r>
    <x v="3"/>
    <x v="9"/>
    <s v="S00501"/>
    <x v="143"/>
    <x v="4"/>
    <x v="386"/>
    <n v="871"/>
    <n v="810"/>
    <x v="6"/>
    <n v="1193"/>
    <n v="1"/>
  </r>
  <r>
    <x v="3"/>
    <x v="5"/>
    <s v="S00663"/>
    <x v="144"/>
    <x v="3"/>
    <x v="432"/>
    <n v="849"/>
    <n v="156"/>
    <x v="7"/>
    <n v="195"/>
    <n v="1"/>
  </r>
  <r>
    <x v="3"/>
    <x v="4"/>
    <s v="S00688"/>
    <x v="57"/>
    <x v="0"/>
    <x v="293"/>
    <n v="911"/>
    <n v="105"/>
    <x v="8"/>
    <n v="154"/>
    <n v="1"/>
  </r>
  <r>
    <x v="3"/>
    <x v="3"/>
    <s v="S00432"/>
    <x v="75"/>
    <x v="0"/>
    <x v="295"/>
    <n v="86"/>
    <n v="232"/>
    <x v="9"/>
    <n v="336"/>
    <n v="1"/>
  </r>
  <r>
    <x v="3"/>
    <x v="8"/>
    <s v="S00411"/>
    <x v="87"/>
    <x v="4"/>
    <x v="296"/>
    <n v="590"/>
    <n v="268"/>
    <x v="10"/>
    <n v="425"/>
    <n v="1"/>
  </r>
  <r>
    <x v="3"/>
    <x v="9"/>
    <s v="S00432"/>
    <x v="135"/>
    <x v="4"/>
    <x v="297"/>
    <n v="810"/>
    <n v="657"/>
    <x v="11"/>
    <n v="1415"/>
    <n v="1"/>
  </r>
  <r>
    <x v="3"/>
    <x v="3"/>
    <s v="S00663"/>
    <x v="145"/>
    <x v="3"/>
    <x v="297"/>
    <n v="166"/>
    <n v="934"/>
    <x v="0"/>
    <n v="2220"/>
    <n v="1"/>
  </r>
  <r>
    <x v="3"/>
    <x v="9"/>
    <s v="S00411"/>
    <x v="187"/>
    <x v="5"/>
    <x v="298"/>
    <n v="342"/>
    <n v="968"/>
    <x v="1"/>
    <n v="1907"/>
    <n v="1"/>
  </r>
  <r>
    <x v="3"/>
    <x v="3"/>
    <s v="S00663"/>
    <x v="76"/>
    <x v="1"/>
    <x v="387"/>
    <n v="232"/>
    <n v="351"/>
    <x v="2"/>
    <n v="592"/>
    <n v="1"/>
  </r>
  <r>
    <x v="3"/>
    <x v="6"/>
    <s v="S00663"/>
    <x v="30"/>
    <x v="1"/>
    <x v="299"/>
    <n v="873"/>
    <n v="287"/>
    <x v="3"/>
    <n v="484"/>
    <n v="1"/>
  </r>
  <r>
    <x v="3"/>
    <x v="8"/>
    <s v="S00432"/>
    <x v="60"/>
    <x v="1"/>
    <x v="433"/>
    <n v="105"/>
    <n v="924"/>
    <x v="4"/>
    <n v="1354"/>
    <n v="1"/>
  </r>
  <r>
    <x v="3"/>
    <x v="3"/>
    <s v="S00663"/>
    <x v="94"/>
    <x v="3"/>
    <x v="390"/>
    <n v="166"/>
    <n v="934"/>
    <x v="5"/>
    <n v="2113"/>
    <n v="1"/>
  </r>
  <r>
    <x v="3"/>
    <x v="7"/>
    <s v="S00348"/>
    <x v="61"/>
    <x v="7"/>
    <x v="434"/>
    <n v="851"/>
    <n v="162"/>
    <x v="6"/>
    <n v="303"/>
    <n v="1"/>
  </r>
  <r>
    <x v="3"/>
    <x v="5"/>
    <s v="S00663"/>
    <x v="103"/>
    <x v="3"/>
    <x v="304"/>
    <n v="849"/>
    <n v="156"/>
    <x v="7"/>
    <n v="351"/>
    <n v="1"/>
  </r>
  <r>
    <x v="3"/>
    <x v="7"/>
    <s v="S00432"/>
    <x v="79"/>
    <x v="3"/>
    <x v="305"/>
    <n v="601"/>
    <n v="413"/>
    <x v="8"/>
    <n v="645"/>
    <n v="1"/>
  </r>
  <r>
    <x v="3"/>
    <x v="3"/>
    <s v="S00597"/>
    <x v="23"/>
    <x v="7"/>
    <x v="435"/>
    <n v="249"/>
    <n v="975"/>
    <x v="9"/>
    <n v="1254"/>
    <n v="1"/>
  </r>
  <r>
    <x v="3"/>
    <x v="3"/>
    <s v="S00663"/>
    <x v="96"/>
    <x v="8"/>
    <x v="436"/>
    <n v="166"/>
    <n v="934"/>
    <x v="10"/>
    <n v="1653"/>
    <n v="1"/>
  </r>
  <r>
    <x v="3"/>
    <x v="9"/>
    <s v="S00432"/>
    <x v="171"/>
    <x v="4"/>
    <x v="306"/>
    <n v="810"/>
    <n v="657"/>
    <x v="11"/>
    <n v="1560"/>
    <n v="1"/>
  </r>
  <r>
    <x v="3"/>
    <x v="9"/>
    <s v="S00432"/>
    <x v="73"/>
    <x v="1"/>
    <x v="307"/>
    <n v="962"/>
    <n v="28"/>
    <x v="0"/>
    <n v="51"/>
    <n v="1"/>
  </r>
  <r>
    <x v="3"/>
    <x v="5"/>
    <s v="S00663"/>
    <x v="98"/>
    <x v="5"/>
    <x v="310"/>
    <n v="499"/>
    <n v="568"/>
    <x v="1"/>
    <n v="997"/>
    <n v="1"/>
  </r>
  <r>
    <x v="3"/>
    <x v="5"/>
    <s v="S00663"/>
    <x v="84"/>
    <x v="5"/>
    <x v="437"/>
    <n v="499"/>
    <n v="568"/>
    <x v="2"/>
    <n v="951"/>
    <n v="1"/>
  </r>
  <r>
    <x v="3"/>
    <x v="7"/>
    <s v="S00432"/>
    <x v="192"/>
    <x v="3"/>
    <x v="311"/>
    <n v="601"/>
    <n v="413"/>
    <x v="3"/>
    <n v="534"/>
    <n v="1"/>
  </r>
  <r>
    <x v="3"/>
    <x v="6"/>
    <s v="S00663"/>
    <x v="71"/>
    <x v="1"/>
    <x v="312"/>
    <n v="873"/>
    <n v="287"/>
    <x v="4"/>
    <n v="330"/>
    <n v="1"/>
  </r>
  <r>
    <x v="3"/>
    <x v="7"/>
    <s v="S00348"/>
    <x v="199"/>
    <x v="5"/>
    <x v="438"/>
    <n v="851"/>
    <n v="162"/>
    <x v="5"/>
    <n v="194"/>
    <n v="1"/>
  </r>
  <r>
    <x v="3"/>
    <x v="7"/>
    <s v="S00348"/>
    <x v="164"/>
    <x v="4"/>
    <x v="314"/>
    <n v="851"/>
    <n v="162"/>
    <x v="6"/>
    <n v="230"/>
    <n v="1"/>
  </r>
  <r>
    <x v="3"/>
    <x v="3"/>
    <s v="S00501"/>
    <x v="107"/>
    <x v="1"/>
    <x v="315"/>
    <n v="975"/>
    <n v="282"/>
    <x v="7"/>
    <n v="378"/>
    <n v="1"/>
  </r>
  <r>
    <x v="3"/>
    <x v="5"/>
    <s v="S00432"/>
    <x v="191"/>
    <x v="7"/>
    <x v="316"/>
    <n v="351"/>
    <n v="918"/>
    <x v="8"/>
    <n v="1882"/>
    <n v="1"/>
  </r>
  <r>
    <x v="3"/>
    <x v="4"/>
    <s v="S00432"/>
    <x v="106"/>
    <x v="0"/>
    <x v="316"/>
    <n v="573"/>
    <n v="784"/>
    <x v="9"/>
    <n v="1241"/>
    <n v="1"/>
  </r>
  <r>
    <x v="3"/>
    <x v="5"/>
    <s v="S00663"/>
    <x v="153"/>
    <x v="3"/>
    <x v="439"/>
    <n v="849"/>
    <n v="156"/>
    <x v="10"/>
    <n v="192"/>
    <n v="1"/>
  </r>
  <r>
    <x v="3"/>
    <x v="4"/>
    <s v="S00688"/>
    <x v="105"/>
    <x v="3"/>
    <x v="317"/>
    <n v="911"/>
    <n v="105"/>
    <x v="11"/>
    <n v="156"/>
    <n v="1"/>
  </r>
  <r>
    <x v="3"/>
    <x v="5"/>
    <s v="S00688"/>
    <x v="53"/>
    <x v="8"/>
    <x v="318"/>
    <n v="98"/>
    <n v="968"/>
    <x v="0"/>
    <n v="1640"/>
    <n v="1"/>
  </r>
  <r>
    <x v="3"/>
    <x v="7"/>
    <s v="S00759"/>
    <x v="55"/>
    <x v="5"/>
    <x v="321"/>
    <n v="479"/>
    <n v="934"/>
    <x v="1"/>
    <n v="1714"/>
    <n v="1"/>
  </r>
  <r>
    <x v="3"/>
    <x v="2"/>
    <s v="S00411"/>
    <x v="180"/>
    <x v="0"/>
    <x v="323"/>
    <n v="386"/>
    <n v="287"/>
    <x v="2"/>
    <n v="531"/>
    <n v="1"/>
  </r>
  <r>
    <x v="3"/>
    <x v="3"/>
    <s v="S00663"/>
    <x v="66"/>
    <x v="1"/>
    <x v="324"/>
    <n v="232"/>
    <n v="351"/>
    <x v="3"/>
    <n v="460"/>
    <n v="1"/>
  </r>
  <r>
    <x v="3"/>
    <x v="7"/>
    <s v="S00411"/>
    <x v="184"/>
    <x v="4"/>
    <x v="325"/>
    <n v="616"/>
    <n v="398"/>
    <x v="4"/>
    <n v="673"/>
    <n v="1"/>
  </r>
  <r>
    <x v="3"/>
    <x v="3"/>
    <s v="S00573"/>
    <x v="138"/>
    <x v="4"/>
    <x v="396"/>
    <n v="61"/>
    <n v="28"/>
    <x v="5"/>
    <n v="53"/>
    <n v="1"/>
  </r>
  <r>
    <x v="3"/>
    <x v="0"/>
    <s v="S00411"/>
    <x v="176"/>
    <x v="3"/>
    <x v="327"/>
    <n v="256"/>
    <n v="839"/>
    <x v="6"/>
    <n v="1995"/>
    <n v="1"/>
  </r>
  <r>
    <x v="3"/>
    <x v="4"/>
    <s v="S00689"/>
    <x v="111"/>
    <x v="4"/>
    <x v="328"/>
    <n v="843"/>
    <n v="839"/>
    <x v="7"/>
    <n v="1274"/>
    <n v="1"/>
  </r>
  <r>
    <x v="3"/>
    <x v="1"/>
    <s v="S00688"/>
    <x v="166"/>
    <x v="7"/>
    <x v="440"/>
    <n v="268"/>
    <n v="118"/>
    <x v="8"/>
    <n v="212"/>
    <n v="1"/>
  </r>
  <r>
    <x v="3"/>
    <x v="0"/>
    <s v="S00411"/>
    <x v="168"/>
    <x v="3"/>
    <x v="398"/>
    <n v="256"/>
    <n v="839"/>
    <x v="9"/>
    <n v="1761"/>
    <n v="1"/>
  </r>
  <r>
    <x v="3"/>
    <x v="5"/>
    <s v="S00432"/>
    <x v="178"/>
    <x v="7"/>
    <x v="333"/>
    <n v="351"/>
    <n v="918"/>
    <x v="10"/>
    <n v="1458"/>
    <n v="1"/>
  </r>
  <r>
    <x v="3"/>
    <x v="6"/>
    <s v="S00573"/>
    <x v="72"/>
    <x v="7"/>
    <x v="335"/>
    <n v="591"/>
    <n v="810"/>
    <x v="11"/>
    <n v="196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DDF79D-3DC1-4BA5-8004-3DFB48B764E1}"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3:A4" firstHeaderRow="1" firstDataRow="1" firstDataCol="0"/>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dataField="1" numFmtId="3" showAll="0"/>
    <pivotField numFmtId="3" showAll="0"/>
    <pivotField numFmtId="3" showAll="0"/>
    <pivotField showAll="0"/>
    <pivotField showAll="0"/>
    <pivotField showAll="0"/>
  </pivotFields>
  <rowItems count="1">
    <i/>
  </rowItems>
  <colItems count="1">
    <i/>
  </colItems>
  <dataFields count="1">
    <dataField name="Sum of Amount" fld="5" baseField="0" baseItem="0" numFmtId="164"/>
  </dataFields>
  <formats count="7">
    <format dxfId="73">
      <pivotArea type="all" dataOnly="0" outline="0"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5080B2-9272-4A2A-9B7D-9CDA7564F4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I8" firstHeaderRow="1" firstDataRow="1" firstDataCol="1"/>
  <pivotFields count="11">
    <pivotField axis="axisRow"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dataField="1" numFmtId="3" showAll="0"/>
    <pivotField numFmtId="3" showAll="0"/>
    <pivotField numFmtId="3" showAll="0"/>
    <pivotField showAll="0"/>
    <pivotField showAll="0"/>
    <pivotField showAll="0"/>
  </pivotFields>
  <rowFields count="1">
    <field x="0"/>
  </rowFields>
  <rowItems count="5">
    <i>
      <x/>
    </i>
    <i>
      <x v="1"/>
    </i>
    <i>
      <x v="2"/>
    </i>
    <i>
      <x v="3"/>
    </i>
    <i t="grand">
      <x/>
    </i>
  </rowItems>
  <colItems count="1">
    <i/>
  </colItems>
  <dataFields count="1">
    <dataField name="Sum of Amount" fld="5" baseField="0" baseItem="0" numFmtId="3"/>
  </dataFields>
  <formats count="6">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outline="0" axis="axisValues" fieldPosition="0"/>
    </format>
  </format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AA3062-12E3-4081-8FD1-39BB0ACA2D6F}"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O3:P14" firstHeaderRow="1" firstDataRow="1" firstDataCol="1"/>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axis="axisRow" showAll="0" measureFilter="1">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10">
        <item x="0"/>
        <item x="1"/>
        <item x="2"/>
        <item x="3"/>
        <item x="4"/>
        <item x="5"/>
        <item x="6"/>
        <item x="7"/>
        <item x="8"/>
        <item t="default"/>
      </items>
    </pivotField>
    <pivotField dataField="1" numFmtId="3" showAll="0"/>
    <pivotField numFmtId="3" showAll="0"/>
    <pivotField numFmtId="3" showAll="0"/>
    <pivotField showAll="0"/>
    <pivotField showAll="0"/>
    <pivotField showAll="0"/>
  </pivotFields>
  <rowFields count="1">
    <field x="3"/>
  </rowFields>
  <rowItems count="11">
    <i>
      <x v="2"/>
    </i>
    <i>
      <x v="18"/>
    </i>
    <i>
      <x v="36"/>
    </i>
    <i>
      <x v="53"/>
    </i>
    <i>
      <x v="57"/>
    </i>
    <i>
      <x v="61"/>
    </i>
    <i>
      <x v="117"/>
    </i>
    <i>
      <x v="170"/>
    </i>
    <i>
      <x v="185"/>
    </i>
    <i>
      <x v="197"/>
    </i>
    <i t="grand">
      <x/>
    </i>
  </rowItems>
  <colItems count="1">
    <i/>
  </colItems>
  <dataFields count="1">
    <dataField name="Sum of Amount" fld="5" baseField="0" baseItem="0" numFmtId="3"/>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140799-61D3-4897-84A4-0EE26AAC67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A27" firstHeaderRow="1" firstDataRow="1" firstDataCol="0"/>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numFmtId="3" showAll="0"/>
    <pivotField dataField="1" numFmtId="3" showAll="0"/>
    <pivotField numFmtId="3" showAll="0"/>
    <pivotField showAll="0"/>
    <pivotField showAll="0"/>
    <pivotField showAll="0"/>
  </pivotFields>
  <rowItems count="1">
    <i/>
  </rowItems>
  <colItems count="1">
    <i/>
  </colItems>
  <dataFields count="1">
    <dataField name="Sum of Offers" fld="6" baseField="0" baseItem="0" numFmtId="3"/>
  </dataFields>
  <formats count="6">
    <format dxfId="85">
      <pivotArea type="all" dataOnly="0" outline="0" fieldPosition="0"/>
    </format>
    <format dxfId="84">
      <pivotArea outline="0" collapsedLevelsAreSubtotals="1"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C1179D-0406-4993-8054-E1F3425B98A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4:I35" firstHeaderRow="1" firstDataRow="1" firstDataCol="1"/>
  <pivotFields count="11">
    <pivotField showAll="0">
      <items count="5">
        <item x="3"/>
        <item x="2"/>
        <item x="1"/>
        <item x="0"/>
        <item t="default"/>
      </items>
    </pivotField>
    <pivotField axis="axisRow" showAll="0" sortType="descending">
      <items count="11">
        <item x="8"/>
        <item x="7"/>
        <item x="6"/>
        <item x="5"/>
        <item x="4"/>
        <item x="3"/>
        <item x="2"/>
        <item x="1"/>
        <item x="9"/>
        <item x="0"/>
        <item t="default"/>
      </items>
    </pivotField>
    <pivotField showAll="0"/>
    <pivotField showAll="0"/>
    <pivotField showAll="0">
      <items count="10">
        <item x="0"/>
        <item x="1"/>
        <item x="2"/>
        <item x="3"/>
        <item x="4"/>
        <item x="5"/>
        <item x="6"/>
        <item x="7"/>
        <item x="8"/>
        <item t="default"/>
      </items>
    </pivotField>
    <pivotField dataField="1" numFmtId="3" showAll="0"/>
    <pivotField numFmtId="3" showAll="0"/>
    <pivotField numFmtId="3"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Amount" fld="5" baseField="0" baseItem="0" numFmtId="3"/>
  </dataFields>
  <formats count="6">
    <format dxfId="91">
      <pivotArea type="all" dataOnly="0" outline="0" fieldPosition="0"/>
    </format>
    <format dxfId="90">
      <pivotArea outline="0" collapsedLevelsAreSubtotals="1" fieldPosition="0"/>
    </format>
    <format dxfId="89">
      <pivotArea field="1" type="button" dataOnly="0" labelOnly="1" outline="0" axis="axisRow" fieldPosition="0"/>
    </format>
    <format dxfId="88">
      <pivotArea dataOnly="0" labelOnly="1" fieldPosition="0">
        <references count="1">
          <reference field="1" count="0"/>
        </references>
      </pivotArea>
    </format>
    <format dxfId="87">
      <pivotArea dataOnly="0" labelOnly="1" grandRow="1" outline="0" fieldPosition="0"/>
    </format>
    <format dxfId="86">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76B7A7-6923-4246-915E-C001FD4845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A16" firstHeaderRow="1" firstDataRow="1" firstDataCol="0"/>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numFmtId="3" showAll="0"/>
    <pivotField numFmtId="3" showAll="0"/>
    <pivotField dataField="1" numFmtId="3" showAll="0"/>
    <pivotField showAll="0"/>
    <pivotField showAll="0"/>
    <pivotField showAll="0"/>
  </pivotFields>
  <rowItems count="1">
    <i/>
  </rowItems>
  <colItems count="1">
    <i/>
  </colItems>
  <dataFields count="1">
    <dataField name="Sum of Orders" fld="7" baseField="0" baseItem="0" numFmtId="3"/>
  </dataFields>
  <formats count="6">
    <format dxfId="97">
      <pivotArea type="all" dataOnly="0" outline="0" fieldPosition="0"/>
    </format>
    <format dxfId="96">
      <pivotArea outline="0" collapsedLevelsAreSubtotals="1"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8E5BAB-AE15-4EA2-AA98-8AC8C8F267E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11:L21" firstHeaderRow="1" firstDataRow="1" firstDataCol="1"/>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10">
        <item x="0"/>
        <item x="1"/>
        <item x="2"/>
        <item x="3"/>
        <item x="4"/>
        <item x="5"/>
        <item x="6"/>
        <item x="7"/>
        <item x="8"/>
        <item t="default"/>
      </items>
    </pivotField>
    <pivotField dataField="1" numFmtId="3" showAll="0"/>
    <pivotField numFmtId="3" showAll="0"/>
    <pivotField numFmtId="3"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Amount" fld="5" baseField="0" baseItem="0" numFmtId="3"/>
  </dataFields>
  <formats count="6">
    <format dxfId="103">
      <pivotArea type="all" dataOnly="0" outline="0" fieldPosition="0"/>
    </format>
    <format dxfId="102">
      <pivotArea outline="0" collapsedLevelsAreSubtotals="1" fieldPosition="0"/>
    </format>
    <format dxfId="101">
      <pivotArea field="4" type="button" dataOnly="0" labelOnly="1" outline="0" axis="axisRow" fieldPosition="0"/>
    </format>
    <format dxfId="100">
      <pivotArea dataOnly="0" labelOnly="1" fieldPosition="0">
        <references count="1">
          <reference field="4" count="0"/>
        </references>
      </pivotArea>
    </format>
    <format dxfId="99">
      <pivotArea dataOnly="0" labelOnly="1" grandRow="1" outline="0" fieldPosition="0"/>
    </format>
    <format dxfId="98">
      <pivotArea dataOnly="0" labelOnly="1" outline="0" axis="axisValues" fieldPosition="0"/>
    </format>
  </formats>
  <chartFormats count="10">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 chart="3" format="6">
      <pivotArea type="data" outline="0" fieldPosition="0">
        <references count="2">
          <reference field="4294967294" count="1" selected="0">
            <x v="0"/>
          </reference>
          <reference field="4" count="1" selected="0">
            <x v="4"/>
          </reference>
        </references>
      </pivotArea>
    </chartFormat>
    <chartFormat chart="3" format="7">
      <pivotArea type="data" outline="0" fieldPosition="0">
        <references count="2">
          <reference field="4294967294" count="1" selected="0">
            <x v="0"/>
          </reference>
          <reference field="4" count="1" selected="0">
            <x v="5"/>
          </reference>
        </references>
      </pivotArea>
    </chartFormat>
    <chartFormat chart="3" format="8">
      <pivotArea type="data" outline="0" fieldPosition="0">
        <references count="2">
          <reference field="4294967294" count="1" selected="0">
            <x v="0"/>
          </reference>
          <reference field="4" count="1" selected="0">
            <x v="6"/>
          </reference>
        </references>
      </pivotArea>
    </chartFormat>
    <chartFormat chart="3" format="9">
      <pivotArea type="data" outline="0" fieldPosition="0">
        <references count="2">
          <reference field="4294967294" count="1" selected="0">
            <x v="0"/>
          </reference>
          <reference field="4" count="1" selected="0">
            <x v="7"/>
          </reference>
        </references>
      </pivotArea>
    </chartFormat>
    <chartFormat chart="3" format="10">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F9EE18-FECF-4A37-BAB0-2614D8CF9F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1:I21" firstHeaderRow="1" firstDataRow="1" firstDataCol="1"/>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axis="axisRow" showAll="0" sortType="descending">
      <items count="10">
        <item x="8"/>
        <item x="7"/>
        <item x="6"/>
        <item x="5"/>
        <item x="4"/>
        <item x="3"/>
        <item x="2"/>
        <item x="1"/>
        <item x="0"/>
        <item t="default"/>
      </items>
    </pivotField>
    <pivotField dataField="1" numFmtId="3" showAll="0"/>
    <pivotField numFmtId="3" showAll="0"/>
    <pivotField numFmtId="3"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Amount" fld="5" baseField="0" baseItem="0" numFmtId="3"/>
  </dataFields>
  <formats count="6">
    <format dxfId="109">
      <pivotArea type="all" dataOnly="0" outline="0" fieldPosition="0"/>
    </format>
    <format dxfId="108">
      <pivotArea outline="0" collapsedLevelsAreSubtotals="1" fieldPosition="0"/>
    </format>
    <format dxfId="107">
      <pivotArea field="4" type="button" dataOnly="0" labelOnly="1" outline="0" axis="axisRow" fieldPosition="0"/>
    </format>
    <format dxfId="106">
      <pivotArea dataOnly="0" labelOnly="1" fieldPosition="0">
        <references count="1">
          <reference field="4" count="0"/>
        </references>
      </pivotArea>
    </format>
    <format dxfId="105">
      <pivotArea dataOnly="0" labelOnly="1" grandRow="1" outline="0" fieldPosition="0"/>
    </format>
    <format dxfId="104">
      <pivotArea dataOnly="0" labelOnly="1" outline="0" axis="axisValues"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8F86F3-0B79-430C-AAA9-D63A75FAB61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M8" firstHeaderRow="0" firstDataRow="1" firstDataCol="1"/>
  <pivotFields count="11">
    <pivotField axis="axisRow"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numFmtId="3" showAll="0"/>
    <pivotField dataField="1" numFmtId="3" showAll="0"/>
    <pivotField dataField="1" numFmtId="3" showAll="0"/>
    <pivotField showAll="0"/>
    <pivotField showAll="0"/>
    <pivotField showAll="0"/>
  </pivotFields>
  <rowFields count="1">
    <field x="0"/>
  </rowFields>
  <rowItems count="5">
    <i>
      <x/>
    </i>
    <i>
      <x v="1"/>
    </i>
    <i>
      <x v="2"/>
    </i>
    <i>
      <x v="3"/>
    </i>
    <i t="grand">
      <x/>
    </i>
  </rowItems>
  <colFields count="1">
    <field x="-2"/>
  </colFields>
  <colItems count="2">
    <i>
      <x/>
    </i>
    <i i="1">
      <x v="1"/>
    </i>
  </colItems>
  <dataFields count="2">
    <dataField name="Sum of Orders" fld="7" baseField="0" baseItem="0" numFmtId="3"/>
    <dataField name="Sum of Offers" fld="6" baseField="0" baseItem="0" numFmtId="3"/>
  </dataFields>
  <formats count="6">
    <format dxfId="115">
      <pivotArea type="all" dataOnly="0" outline="0" fieldPosition="0"/>
    </format>
    <format dxfId="114">
      <pivotArea outline="0" collapsedLevelsAreSubtotals="1" fieldPosition="0"/>
    </format>
    <format dxfId="113">
      <pivotArea field="0" type="button" dataOnly="0" labelOnly="1" outline="0" axis="axisRow" fieldPosition="0"/>
    </format>
    <format dxfId="112">
      <pivotArea dataOnly="0" labelOnly="1" fieldPosition="0">
        <references count="1">
          <reference field="0" count="0"/>
        </references>
      </pivotArea>
    </format>
    <format dxfId="111">
      <pivotArea dataOnly="0" labelOnly="1" grandRow="1" outline="0" fieldPosition="0"/>
    </format>
    <format dxfId="110">
      <pivotArea dataOnly="0" labelOnly="1" outline="0" fieldPosition="0">
        <references count="1">
          <reference field="4294967294" count="2">
            <x v="0"/>
            <x v="1"/>
          </reference>
        </references>
      </pivotArea>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34BD4A-5108-4B18-AAFA-465717BE24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dataField="1" numFmtId="3" showAll="0"/>
    <pivotField numFmtId="3" showAll="0"/>
    <pivotField numFmtId="3" showAll="0"/>
    <pivotField showAll="0"/>
    <pivotField showAll="0"/>
    <pivotField showAll="0"/>
  </pivotFields>
  <rowItems count="1">
    <i/>
  </rowItems>
  <colItems count="1">
    <i/>
  </colItems>
  <dataFields count="1">
    <dataField name="Sum of Amount" fld="5" baseField="0" baseItem="0" numFmtId="164"/>
  </dataFields>
  <formats count="7">
    <format dxfId="12">
      <pivotArea type="all" dataOnly="0" outline="0" fieldPosition="0"/>
    </format>
    <format dxfId="11">
      <pivotArea outline="0" collapsedLevelsAreSubtotals="1" fieldPosition="0"/>
    </format>
    <format dxfId="10">
      <pivotArea outline="0" collapsedLevelsAreSubtotals="1" fieldPosition="0"/>
    </format>
    <format dxfId="9">
      <pivotArea type="all" dataOnly="0" outline="0" fieldPosition="0"/>
    </format>
    <format dxfId="8">
      <pivotArea outline="0" collapsedLevelsAreSubtotals="1" fieldPosition="0"/>
    </format>
    <format dxfId="7">
      <pivotArea dataOnly="0" labelOnly="1" outline="0" axis="axisValues" fieldPosition="0"/>
    </format>
    <format dxfId="6">
      <pivotArea dataOnly="0"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41602C-79F9-45DC-B7C1-028AD7C0B80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0:A71" firstHeaderRow="1" firstDataRow="1" firstDataCol="0"/>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numFmtId="3" showAll="0"/>
    <pivotField numFmtId="3" showAll="0"/>
    <pivotField numFmtId="3" showAll="0"/>
    <pivotField showAll="0"/>
    <pivotField showAll="0"/>
    <pivotField dataField="1" showAll="0"/>
  </pivotFields>
  <rowItems count="1">
    <i/>
  </rowItems>
  <colItems count="1">
    <i/>
  </colItems>
  <dataFields count="1">
    <dataField name="Sum of Transaction" fld="10" baseField="0" baseItem="0"/>
  </dataFields>
  <formats count="6">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BDA006-8D2B-48C6-8AF4-F99DDFC6EA3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8:A59" firstHeaderRow="1" firstDataRow="1" firstDataCol="0"/>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numFmtId="3" showAll="0"/>
    <pivotField numFmtId="3" showAll="0"/>
    <pivotField numFmtId="3" showAll="0"/>
    <pivotField showAll="0"/>
    <pivotField dataField="1" showAll="0"/>
    <pivotField showAll="0"/>
  </pivotFields>
  <rowItems count="1">
    <i/>
  </rowItems>
  <colItems count="1">
    <i/>
  </colItems>
  <dataFields count="1">
    <dataField name="Sum of Quantity" fld="9" baseField="0" baseItem="0"/>
  </dataFields>
  <formats count="6">
    <format dxfId="24">
      <pivotArea type="all" dataOnly="0" outline="0" fieldPosition="0"/>
    </format>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C2638A-8700-4150-916B-DF5CE1B5FA0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8" firstHeaderRow="1" firstDataRow="1" firstDataCol="1"/>
  <pivotFields count="11">
    <pivotField axis="axisRow"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dataField="1" numFmtId="3" showAll="0"/>
    <pivotField numFmtId="3" showAll="0"/>
    <pivotField numFmtId="3" showAll="0"/>
    <pivotField showAll="0"/>
    <pivotField showAll="0"/>
    <pivotField showAll="0"/>
  </pivotFields>
  <rowFields count="1">
    <field x="0"/>
  </rowFields>
  <rowItems count="5">
    <i>
      <x/>
    </i>
    <i>
      <x v="1"/>
    </i>
    <i>
      <x v="2"/>
    </i>
    <i>
      <x v="3"/>
    </i>
    <i t="grand">
      <x/>
    </i>
  </rowItems>
  <colItems count="1">
    <i/>
  </colItems>
  <dataFields count="1">
    <dataField name="Sum of Amount" fld="5" baseField="0" baseItem="0" numFmtId="3"/>
  </dataFields>
  <formats count="6">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3FB6654-2537-4F50-A53B-A65F29F9274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9:I52" firstHeaderRow="1" firstDataRow="1" firstDataCol="1"/>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dataField="1" numFmtId="3" showAll="0"/>
    <pivotField numFmtId="3" showAll="0"/>
    <pivotField numFmtId="3" showAll="0"/>
    <pivotField axis="axisRow" showAll="0">
      <items count="13">
        <item x="0"/>
        <item x="1"/>
        <item x="2"/>
        <item x="3"/>
        <item x="4"/>
        <item x="5"/>
        <item x="6"/>
        <item x="7"/>
        <item x="8"/>
        <item x="9"/>
        <item x="10"/>
        <item x="11"/>
        <item t="default"/>
      </items>
    </pivotField>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Amount" fld="5" baseField="0" baseItem="0" numFmtId="3"/>
  </dataFields>
  <formats count="6">
    <format dxfId="36">
      <pivotArea type="all" dataOnly="0" outline="0" fieldPosition="0"/>
    </format>
    <format dxfId="35">
      <pivotArea outline="0" collapsedLevelsAreSubtotals="1" fieldPosition="0"/>
    </format>
    <format dxfId="34">
      <pivotArea field="8" type="button" dataOnly="0" labelOnly="1" outline="0" axis="axisRow" fieldPosition="0"/>
    </format>
    <format dxfId="33">
      <pivotArea dataOnly="0" labelOnly="1" fieldPosition="0">
        <references count="1">
          <reference field="8" count="0"/>
        </references>
      </pivotArea>
    </format>
    <format dxfId="32">
      <pivotArea dataOnly="0" labelOnly="1" grandRow="1" outline="0" fieldPosition="0"/>
    </format>
    <format dxfId="31">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F265E95-B422-4E1F-9D59-4FE0680F1C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8:A39" firstHeaderRow="1" firstDataRow="1" firstDataCol="0"/>
  <pivotFields count="11">
    <pivotField showAll="0">
      <items count="5">
        <item x="3"/>
        <item x="2"/>
        <item x="1"/>
        <item x="0"/>
        <item t="default"/>
      </items>
    </pivotField>
    <pivotField dataField="1"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numFmtId="3" showAll="0"/>
    <pivotField numFmtId="3" showAll="0"/>
    <pivotField numFmtId="3" showAll="0"/>
    <pivotField showAll="0"/>
    <pivotField showAll="0"/>
    <pivotField showAll="0"/>
  </pivotFields>
  <rowItems count="1">
    <i/>
  </rowItems>
  <colItems count="1">
    <i/>
  </colItems>
  <dataFields count="1">
    <dataField name="Count of Salesperson" fld="1" subtotal="count" baseField="0" baseItem="0"/>
  </dataFields>
  <formats count="6">
    <format dxfId="42">
      <pivotArea type="all" dataOnly="0" outline="0" fieldPosition="0"/>
    </format>
    <format dxfId="41">
      <pivotArea outline="0" collapsedLevelsAreSubtotals="1"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28F9585-134C-433C-BFEA-E456B6A616B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6:A27" firstHeaderRow="1" firstDataRow="1" firstDataCol="0"/>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numFmtId="3" showAll="0"/>
    <pivotField dataField="1" numFmtId="3" showAll="0"/>
    <pivotField numFmtId="3" showAll="0"/>
    <pivotField showAll="0"/>
    <pivotField showAll="0"/>
    <pivotField showAll="0"/>
  </pivotFields>
  <rowItems count="1">
    <i/>
  </rowItems>
  <colItems count="1">
    <i/>
  </colItems>
  <dataFields count="1">
    <dataField name="Sum of Offers" fld="6" baseField="0" baseItem="0" numFmtId="3"/>
  </dataFields>
  <formats count="6">
    <format dxfId="48">
      <pivotArea type="all" dataOnly="0" outline="0" fieldPosition="0"/>
    </format>
    <format dxfId="47">
      <pivotArea outline="0" collapsedLevelsAreSubtotals="1"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1D408EC-CCB2-4A33-B35E-D18549913DA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1:I21" firstHeaderRow="1" firstDataRow="1" firstDataCol="1"/>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axis="axisRow" showAll="0">
      <items count="10">
        <item x="0"/>
        <item x="1"/>
        <item x="2"/>
        <item x="3"/>
        <item x="4"/>
        <item x="5"/>
        <item x="6"/>
        <item x="7"/>
        <item x="8"/>
        <item t="default"/>
      </items>
    </pivotField>
    <pivotField dataField="1" numFmtId="3" showAll="0"/>
    <pivotField numFmtId="3" showAll="0"/>
    <pivotField numFmtId="3"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Amount" fld="5" baseField="0" baseItem="0" numFmtId="3"/>
  </dataFields>
  <formats count="6">
    <format dxfId="54">
      <pivotArea type="all" dataOnly="0" outline="0" fieldPosition="0"/>
    </format>
    <format dxfId="53">
      <pivotArea outline="0" collapsedLevelsAreSubtotals="1" fieldPosition="0"/>
    </format>
    <format dxfId="52">
      <pivotArea field="4" type="button" dataOnly="0" labelOnly="1" outline="0" axis="axisRow" fieldPosition="0"/>
    </format>
    <format dxfId="51">
      <pivotArea dataOnly="0" labelOnly="1" fieldPosition="0">
        <references count="1">
          <reference field="4" count="0"/>
        </references>
      </pivotArea>
    </format>
    <format dxfId="50">
      <pivotArea dataOnly="0" labelOnly="1" grandRow="1" outline="0" fieldPosition="0"/>
    </format>
    <format dxfId="49">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2" format="15">
      <pivotArea type="data" outline="0" fieldPosition="0">
        <references count="2">
          <reference field="4294967294" count="1" selected="0">
            <x v="0"/>
          </reference>
          <reference field="4" count="1" selected="0">
            <x v="4"/>
          </reference>
        </references>
      </pivotArea>
    </chartFormat>
    <chartFormat chart="2" format="16">
      <pivotArea type="data" outline="0" fieldPosition="0">
        <references count="2">
          <reference field="4294967294" count="1" selected="0">
            <x v="0"/>
          </reference>
          <reference field="4" count="1" selected="0">
            <x v="5"/>
          </reference>
        </references>
      </pivotArea>
    </chartFormat>
    <chartFormat chart="2" format="17">
      <pivotArea type="data" outline="0" fieldPosition="0">
        <references count="2">
          <reference field="4294967294" count="1" selected="0">
            <x v="0"/>
          </reference>
          <reference field="4" count="1" selected="0">
            <x v="6"/>
          </reference>
        </references>
      </pivotArea>
    </chartFormat>
    <chartFormat chart="2" format="18">
      <pivotArea type="data" outline="0" fieldPosition="0">
        <references count="2">
          <reference field="4294967294" count="1" selected="0">
            <x v="0"/>
          </reference>
          <reference field="4" count="1" selected="0">
            <x v="7"/>
          </reference>
        </references>
      </pivotArea>
    </chartFormat>
    <chartFormat chart="2" format="1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A861F52-F4FB-4023-B0E7-A42FE0CA5F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4:I36" firstHeaderRow="1" firstDataRow="1" firstDataCol="1"/>
  <pivotFields count="11">
    <pivotField showAll="0">
      <items count="5">
        <item x="3"/>
        <item x="2"/>
        <item x="1"/>
        <item x="0"/>
        <item t="default"/>
      </items>
    </pivotField>
    <pivotField dataField="1"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axis="axisRow" numFmtId="3" showAll="0" measureFilter="1" sortType="descending">
      <items count="442">
        <item x="169"/>
        <item x="168"/>
        <item x="167"/>
        <item x="166"/>
        <item x="165"/>
        <item x="164"/>
        <item x="163"/>
        <item x="162"/>
        <item x="161"/>
        <item x="160"/>
        <item x="159"/>
        <item x="158"/>
        <item x="157"/>
        <item x="156"/>
        <item x="155"/>
        <item x="154"/>
        <item x="153"/>
        <item x="152"/>
        <item x="151"/>
        <item x="150"/>
        <item x="149"/>
        <item x="148"/>
        <item x="340"/>
        <item x="147"/>
        <item x="146"/>
        <item x="145"/>
        <item x="339"/>
        <item x="338"/>
        <item x="144"/>
        <item x="143"/>
        <item x="142"/>
        <item x="141"/>
        <item x="140"/>
        <item x="337"/>
        <item x="139"/>
        <item x="336"/>
        <item x="138"/>
        <item x="137"/>
        <item x="136"/>
        <item x="135"/>
        <item x="335"/>
        <item x="334"/>
        <item x="333"/>
        <item x="332"/>
        <item x="134"/>
        <item x="398"/>
        <item x="133"/>
        <item x="440"/>
        <item x="331"/>
        <item x="132"/>
        <item x="330"/>
        <item x="329"/>
        <item x="328"/>
        <item x="327"/>
        <item x="131"/>
        <item x="397"/>
        <item x="326"/>
        <item x="130"/>
        <item x="396"/>
        <item x="325"/>
        <item x="324"/>
        <item x="395"/>
        <item x="129"/>
        <item x="128"/>
        <item x="127"/>
        <item x="126"/>
        <item x="125"/>
        <item x="323"/>
        <item x="322"/>
        <item x="124"/>
        <item x="321"/>
        <item x="320"/>
        <item x="319"/>
        <item x="318"/>
        <item x="123"/>
        <item x="317"/>
        <item x="122"/>
        <item x="439"/>
        <item x="394"/>
        <item x="316"/>
        <item x="315"/>
        <item x="314"/>
        <item x="313"/>
        <item x="438"/>
        <item x="312"/>
        <item x="311"/>
        <item x="437"/>
        <item x="393"/>
        <item x="121"/>
        <item x="310"/>
        <item x="309"/>
        <item x="308"/>
        <item x="307"/>
        <item x="306"/>
        <item x="436"/>
        <item x="435"/>
        <item x="305"/>
        <item x="392"/>
        <item x="304"/>
        <item x="391"/>
        <item x="303"/>
        <item x="302"/>
        <item x="434"/>
        <item x="120"/>
        <item x="119"/>
        <item x="118"/>
        <item x="301"/>
        <item x="117"/>
        <item x="390"/>
        <item x="300"/>
        <item x="389"/>
        <item x="116"/>
        <item x="115"/>
        <item x="114"/>
        <item x="433"/>
        <item x="299"/>
        <item x="113"/>
        <item x="112"/>
        <item x="111"/>
        <item x="388"/>
        <item x="110"/>
        <item x="387"/>
        <item x="298"/>
        <item x="109"/>
        <item x="108"/>
        <item x="107"/>
        <item x="297"/>
        <item x="106"/>
        <item x="296"/>
        <item x="295"/>
        <item x="294"/>
        <item x="293"/>
        <item x="432"/>
        <item x="105"/>
        <item x="386"/>
        <item x="104"/>
        <item x="385"/>
        <item x="103"/>
        <item x="384"/>
        <item x="431"/>
        <item x="102"/>
        <item x="292"/>
        <item x="291"/>
        <item x="290"/>
        <item x="101"/>
        <item x="289"/>
        <item x="288"/>
        <item x="287"/>
        <item x="286"/>
        <item x="383"/>
        <item x="285"/>
        <item x="100"/>
        <item x="99"/>
        <item x="98"/>
        <item x="430"/>
        <item x="97"/>
        <item x="96"/>
        <item x="284"/>
        <item x="283"/>
        <item x="282"/>
        <item x="281"/>
        <item x="280"/>
        <item x="95"/>
        <item x="279"/>
        <item x="94"/>
        <item x="278"/>
        <item x="277"/>
        <item x="382"/>
        <item x="93"/>
        <item x="276"/>
        <item x="381"/>
        <item x="92"/>
        <item x="275"/>
        <item x="274"/>
        <item x="273"/>
        <item x="91"/>
        <item x="272"/>
        <item x="90"/>
        <item x="271"/>
        <item x="270"/>
        <item x="269"/>
        <item x="268"/>
        <item x="89"/>
        <item x="267"/>
        <item x="266"/>
        <item x="88"/>
        <item x="265"/>
        <item x="87"/>
        <item x="264"/>
        <item x="263"/>
        <item x="86"/>
        <item x="85"/>
        <item x="262"/>
        <item x="84"/>
        <item x="261"/>
        <item x="83"/>
        <item x="82"/>
        <item x="81"/>
        <item x="260"/>
        <item x="80"/>
        <item x="259"/>
        <item x="258"/>
        <item x="429"/>
        <item x="257"/>
        <item x="428"/>
        <item x="427"/>
        <item x="426"/>
        <item x="380"/>
        <item x="256"/>
        <item x="79"/>
        <item x="425"/>
        <item x="255"/>
        <item x="78"/>
        <item x="254"/>
        <item x="77"/>
        <item x="76"/>
        <item x="75"/>
        <item x="74"/>
        <item x="73"/>
        <item x="72"/>
        <item x="424"/>
        <item x="253"/>
        <item x="379"/>
        <item x="71"/>
        <item x="378"/>
        <item x="70"/>
        <item x="423"/>
        <item x="69"/>
        <item x="377"/>
        <item x="68"/>
        <item x="252"/>
        <item x="67"/>
        <item x="66"/>
        <item x="376"/>
        <item x="251"/>
        <item x="250"/>
        <item x="249"/>
        <item x="375"/>
        <item x="374"/>
        <item x="248"/>
        <item x="65"/>
        <item x="247"/>
        <item x="246"/>
        <item x="373"/>
        <item x="64"/>
        <item x="63"/>
        <item x="422"/>
        <item x="372"/>
        <item x="62"/>
        <item x="61"/>
        <item x="245"/>
        <item x="371"/>
        <item x="244"/>
        <item x="421"/>
        <item x="60"/>
        <item x="243"/>
        <item x="242"/>
        <item x="241"/>
        <item x="240"/>
        <item x="239"/>
        <item x="420"/>
        <item x="238"/>
        <item x="370"/>
        <item x="237"/>
        <item x="369"/>
        <item x="59"/>
        <item x="58"/>
        <item x="57"/>
        <item x="236"/>
        <item x="56"/>
        <item x="368"/>
        <item x="55"/>
        <item x="235"/>
        <item x="234"/>
        <item x="233"/>
        <item x="232"/>
        <item x="367"/>
        <item x="366"/>
        <item x="365"/>
        <item x="419"/>
        <item x="231"/>
        <item x="54"/>
        <item x="53"/>
        <item x="230"/>
        <item x="418"/>
        <item x="229"/>
        <item x="52"/>
        <item x="51"/>
        <item x="228"/>
        <item x="227"/>
        <item x="50"/>
        <item x="226"/>
        <item x="49"/>
        <item x="225"/>
        <item x="364"/>
        <item x="48"/>
        <item x="417"/>
        <item x="47"/>
        <item x="363"/>
        <item x="416"/>
        <item x="224"/>
        <item x="46"/>
        <item x="223"/>
        <item x="222"/>
        <item x="362"/>
        <item x="221"/>
        <item x="45"/>
        <item x="220"/>
        <item x="361"/>
        <item x="360"/>
        <item x="415"/>
        <item x="44"/>
        <item x="43"/>
        <item x="414"/>
        <item x="359"/>
        <item x="358"/>
        <item x="42"/>
        <item x="219"/>
        <item x="218"/>
        <item x="357"/>
        <item x="217"/>
        <item x="41"/>
        <item x="216"/>
        <item x="356"/>
        <item x="413"/>
        <item x="40"/>
        <item x="39"/>
        <item x="38"/>
        <item x="215"/>
        <item x="214"/>
        <item x="37"/>
        <item x="36"/>
        <item x="213"/>
        <item x="35"/>
        <item x="355"/>
        <item x="34"/>
        <item x="212"/>
        <item x="33"/>
        <item x="32"/>
        <item x="211"/>
        <item x="354"/>
        <item x="412"/>
        <item x="31"/>
        <item x="411"/>
        <item x="30"/>
        <item x="29"/>
        <item x="210"/>
        <item x="28"/>
        <item x="353"/>
        <item x="209"/>
        <item x="208"/>
        <item x="352"/>
        <item x="27"/>
        <item x="26"/>
        <item x="410"/>
        <item x="25"/>
        <item x="207"/>
        <item x="351"/>
        <item x="350"/>
        <item x="24"/>
        <item x="206"/>
        <item x="23"/>
        <item x="22"/>
        <item x="205"/>
        <item x="21"/>
        <item x="204"/>
        <item x="203"/>
        <item x="202"/>
        <item x="20"/>
        <item x="19"/>
        <item x="349"/>
        <item x="201"/>
        <item x="200"/>
        <item x="199"/>
        <item x="409"/>
        <item x="198"/>
        <item x="18"/>
        <item x="17"/>
        <item x="16"/>
        <item x="197"/>
        <item x="15"/>
        <item x="348"/>
        <item x="196"/>
        <item x="195"/>
        <item x="408"/>
        <item x="194"/>
        <item x="193"/>
        <item x="347"/>
        <item x="192"/>
        <item x="407"/>
        <item x="14"/>
        <item x="13"/>
        <item x="346"/>
        <item x="12"/>
        <item x="11"/>
        <item x="191"/>
        <item x="190"/>
        <item x="10"/>
        <item x="189"/>
        <item x="9"/>
        <item x="188"/>
        <item x="187"/>
        <item x="186"/>
        <item x="185"/>
        <item x="406"/>
        <item x="8"/>
        <item x="184"/>
        <item x="7"/>
        <item x="183"/>
        <item x="182"/>
        <item x="405"/>
        <item x="6"/>
        <item x="345"/>
        <item x="181"/>
        <item x="5"/>
        <item x="404"/>
        <item x="4"/>
        <item x="180"/>
        <item x="179"/>
        <item x="178"/>
        <item x="177"/>
        <item x="403"/>
        <item x="344"/>
        <item x="3"/>
        <item x="343"/>
        <item x="176"/>
        <item x="2"/>
        <item x="175"/>
        <item x="402"/>
        <item x="174"/>
        <item x="1"/>
        <item x="173"/>
        <item x="172"/>
        <item x="0"/>
        <item x="342"/>
        <item x="171"/>
        <item x="401"/>
        <item x="170"/>
        <item x="341"/>
        <item x="400"/>
        <item x="399"/>
        <item t="default"/>
      </items>
    </pivotField>
    <pivotField numFmtId="3" showAll="0"/>
    <pivotField numFmtId="3" showAll="0"/>
    <pivotField showAll="0"/>
    <pivotField showAll="0"/>
    <pivotField showAll="0"/>
  </pivotFields>
  <rowFields count="1">
    <field x="5"/>
  </rowFields>
  <rowItems count="12">
    <i>
      <x v="2"/>
    </i>
    <i>
      <x v="79"/>
    </i>
    <i>
      <x v="176"/>
    </i>
    <i>
      <x v="273"/>
    </i>
    <i>
      <x v="276"/>
    </i>
    <i>
      <x v="307"/>
    </i>
    <i>
      <x v="395"/>
    </i>
    <i>
      <x v="406"/>
    </i>
    <i>
      <x v="409"/>
    </i>
    <i>
      <x v="427"/>
    </i>
    <i>
      <x v="429"/>
    </i>
    <i t="grand">
      <x/>
    </i>
  </rowItems>
  <colItems count="1">
    <i/>
  </colItems>
  <dataFields count="1">
    <dataField name="Count of Salesperson" fld="1" subtotal="count" baseField="0" baseItem="0"/>
  </dataFields>
  <formats count="6">
    <format dxfId="60">
      <pivotArea type="all" dataOnly="0" outline="0" fieldPosition="0"/>
    </format>
    <format dxfId="59">
      <pivotArea outline="0" collapsedLevelsAreSubtotals="1" fieldPosition="0"/>
    </format>
    <format dxfId="58">
      <pivotArea field="5" type="button" dataOnly="0" labelOnly="1" outline="0" axis="axisRow" fieldPosition="0"/>
    </format>
    <format dxfId="57">
      <pivotArea dataOnly="0" labelOnly="1" fieldPosition="0">
        <references count="1">
          <reference field="5" count="11">
            <x v="2"/>
            <x v="79"/>
            <x v="176"/>
            <x v="273"/>
            <x v="276"/>
            <x v="307"/>
            <x v="395"/>
            <x v="406"/>
            <x v="409"/>
            <x v="427"/>
            <x v="429"/>
          </reference>
        </references>
      </pivotArea>
    </format>
    <format dxfId="56">
      <pivotArea dataOnly="0" labelOnly="1" grandRow="1" outline="0" fieldPosition="0"/>
    </format>
    <format dxfId="55">
      <pivotArea dataOnly="0" labelOnly="1" outline="0" axis="axisValues" fieldPosition="0"/>
    </format>
  </formats>
  <chartFormats count="2">
    <chartFormat chart="0"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10C5129-36AA-473B-BEF9-6FE52E8D48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A14" firstHeaderRow="1" firstDataRow="1" firstDataCol="0"/>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showAll="0"/>
    <pivotField showAll="0">
      <items count="10">
        <item x="0"/>
        <item x="1"/>
        <item x="2"/>
        <item x="3"/>
        <item x="4"/>
        <item x="5"/>
        <item x="6"/>
        <item x="7"/>
        <item x="8"/>
        <item t="default"/>
      </items>
    </pivotField>
    <pivotField numFmtId="3" showAll="0"/>
    <pivotField numFmtId="3" showAll="0"/>
    <pivotField dataField="1" numFmtId="3" showAll="0"/>
    <pivotField showAll="0"/>
    <pivotField showAll="0"/>
    <pivotField showAll="0"/>
  </pivotFields>
  <rowItems count="1">
    <i/>
  </rowItems>
  <colItems count="1">
    <i/>
  </colItems>
  <dataFields count="1">
    <dataField name="Sum of Orders" fld="7" baseField="0" baseItem="0" numFmtId="3"/>
  </dataFields>
  <formats count="6">
    <format dxfId="66">
      <pivotArea type="all" dataOnly="0" outline="0"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D02E0A0-2457-4EF0-B988-C9CEA6AFC2D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
  <location ref="U34:Y39" firstHeaderRow="0" firstDataRow="1" firstDataCol="1"/>
  <pivotFields count="11">
    <pivotField axis="axisRow" showAll="0">
      <items count="5">
        <item x="3"/>
        <item x="2"/>
        <item x="1"/>
        <item x="0"/>
        <item t="default"/>
      </items>
    </pivotField>
    <pivotField showAll="0">
      <items count="11">
        <item x="0"/>
        <item x="9"/>
        <item x="1"/>
        <item x="2"/>
        <item x="3"/>
        <item x="4"/>
        <item x="5"/>
        <item x="6"/>
        <item x="7"/>
        <item x="8"/>
        <item t="default"/>
      </items>
    </pivotField>
    <pivotField showAll="0"/>
    <pivotField dataField="1" showAll="0"/>
    <pivotField showAll="0">
      <items count="10">
        <item x="0"/>
        <item x="1"/>
        <item x="2"/>
        <item x="3"/>
        <item x="4"/>
        <item x="5"/>
        <item x="6"/>
        <item x="7"/>
        <item x="8"/>
        <item t="default"/>
      </items>
    </pivotField>
    <pivotField dataField="1" numFmtId="3" showAll="0"/>
    <pivotField numFmtId="3" showAll="0"/>
    <pivotField numFmtId="3" showAll="0"/>
    <pivotField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dataFields count="4">
    <dataField name="Sales Amount" fld="5" baseField="0" baseItem="0" numFmtId="3"/>
    <dataField name="Quanties" fld="9" baseField="0" baseItem="0"/>
    <dataField name="Transactions" fld="10" baseField="0" baseItem="0"/>
    <dataField name="Customers" fld="3" subtotal="count" baseField="0" baseItem="0"/>
  </dataFields>
  <formats count="48">
    <format dxfId="189">
      <pivotArea type="all" dataOnly="0" outline="0" fieldPosition="0"/>
    </format>
    <format dxfId="188">
      <pivotArea outline="0" collapsedLevelsAreSubtotals="1" fieldPosition="0"/>
    </format>
    <format dxfId="187">
      <pivotArea field="0" type="button" dataOnly="0" labelOnly="1" outline="0" axis="axisRow" fieldPosition="0"/>
    </format>
    <format dxfId="186">
      <pivotArea dataOnly="0" labelOnly="1" fieldPosition="0">
        <references count="1">
          <reference field="0" count="0"/>
        </references>
      </pivotArea>
    </format>
    <format dxfId="185">
      <pivotArea dataOnly="0" labelOnly="1" grandRow="1" outline="0" fieldPosition="0"/>
    </format>
    <format dxfId="184">
      <pivotArea dataOnly="0" labelOnly="1" outline="0" fieldPosition="0">
        <references count="1">
          <reference field="4294967294" count="4">
            <x v="0"/>
            <x v="1"/>
            <x v="2"/>
            <x v="3"/>
          </reference>
        </references>
      </pivotArea>
    </format>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dataOnly="0" labelOnly="1" fieldPosition="0">
        <references count="1">
          <reference field="0" count="0"/>
        </references>
      </pivotArea>
    </format>
    <format dxfId="179">
      <pivotArea dataOnly="0" labelOnly="1" grandRow="1" outline="0" fieldPosition="0"/>
    </format>
    <format dxfId="178">
      <pivotArea dataOnly="0" labelOnly="1" outline="0" fieldPosition="0">
        <references count="1">
          <reference field="4294967294" count="4">
            <x v="0"/>
            <x v="1"/>
            <x v="2"/>
            <x v="3"/>
          </reference>
        </references>
      </pivotArea>
    </format>
    <format dxfId="177">
      <pivotArea type="all" dataOnly="0" outline="0" fieldPosition="0"/>
    </format>
    <format dxfId="176">
      <pivotArea outline="0" collapsedLevelsAreSubtotals="1" fieldPosition="0"/>
    </format>
    <format dxfId="175">
      <pivotArea field="0" type="button" dataOnly="0" labelOnly="1" outline="0" axis="axisRow" fieldPosition="0"/>
    </format>
    <format dxfId="174">
      <pivotArea dataOnly="0" labelOnly="1" fieldPosition="0">
        <references count="1">
          <reference field="0" count="0"/>
        </references>
      </pivotArea>
    </format>
    <format dxfId="173">
      <pivotArea dataOnly="0" labelOnly="1" grandRow="1" outline="0" fieldPosition="0"/>
    </format>
    <format dxfId="172">
      <pivotArea dataOnly="0" labelOnly="1" outline="0" fieldPosition="0">
        <references count="1">
          <reference field="4294967294" count="4">
            <x v="0"/>
            <x v="1"/>
            <x v="2"/>
            <x v="3"/>
          </reference>
        </references>
      </pivotArea>
    </format>
    <format dxfId="171">
      <pivotArea type="all" dataOnly="0" outline="0" fieldPosition="0"/>
    </format>
    <format dxfId="170">
      <pivotArea outline="0" collapsedLevelsAreSubtotals="1" fieldPosition="0"/>
    </format>
    <format dxfId="169">
      <pivotArea field="0" type="button" dataOnly="0" labelOnly="1" outline="0" axis="axisRow" fieldPosition="0"/>
    </format>
    <format dxfId="168">
      <pivotArea dataOnly="0" labelOnly="1" fieldPosition="0">
        <references count="1">
          <reference field="0" count="0"/>
        </references>
      </pivotArea>
    </format>
    <format dxfId="167">
      <pivotArea dataOnly="0" labelOnly="1" grandRow="1" outline="0" fieldPosition="0"/>
    </format>
    <format dxfId="166">
      <pivotArea dataOnly="0" labelOnly="1" outline="0" fieldPosition="0">
        <references count="1">
          <reference field="4294967294" count="4">
            <x v="0"/>
            <x v="1"/>
            <x v="2"/>
            <x v="3"/>
          </reference>
        </references>
      </pivotArea>
    </format>
    <format dxfId="165">
      <pivotArea type="all" dataOnly="0" outline="0" fieldPosition="0"/>
    </format>
    <format dxfId="164">
      <pivotArea outline="0" collapsedLevelsAreSubtotals="1" fieldPosition="0"/>
    </format>
    <format dxfId="163">
      <pivotArea field="0" type="button" dataOnly="0" labelOnly="1" outline="0" axis="axisRow" fieldPosition="0"/>
    </format>
    <format dxfId="162">
      <pivotArea dataOnly="0" labelOnly="1" fieldPosition="0">
        <references count="1">
          <reference field="0" count="0"/>
        </references>
      </pivotArea>
    </format>
    <format dxfId="161">
      <pivotArea dataOnly="0" labelOnly="1" grandRow="1" outline="0" fieldPosition="0"/>
    </format>
    <format dxfId="160">
      <pivotArea dataOnly="0" labelOnly="1" outline="0" fieldPosition="0">
        <references count="1">
          <reference field="4294967294" count="4">
            <x v="0"/>
            <x v="1"/>
            <x v="2"/>
            <x v="3"/>
          </reference>
        </references>
      </pivotArea>
    </format>
    <format dxfId="159">
      <pivotArea type="all" dataOnly="0" outline="0" fieldPosition="0"/>
    </format>
    <format dxfId="158">
      <pivotArea outline="0" collapsedLevelsAreSubtotals="1" fieldPosition="0"/>
    </format>
    <format dxfId="157">
      <pivotArea field="0" type="button" dataOnly="0" labelOnly="1" outline="0" axis="axisRow" fieldPosition="0"/>
    </format>
    <format dxfId="156">
      <pivotArea dataOnly="0" labelOnly="1" fieldPosition="0">
        <references count="1">
          <reference field="0" count="0"/>
        </references>
      </pivotArea>
    </format>
    <format dxfId="155">
      <pivotArea dataOnly="0" labelOnly="1" grandRow="1" outline="0" fieldPosition="0"/>
    </format>
    <format dxfId="154">
      <pivotArea dataOnly="0" labelOnly="1" outline="0" fieldPosition="0">
        <references count="1">
          <reference field="4294967294" count="4">
            <x v="0"/>
            <x v="1"/>
            <x v="2"/>
            <x v="3"/>
          </reference>
        </references>
      </pivotArea>
    </format>
    <format dxfId="153">
      <pivotArea type="all" dataOnly="0" outline="0" fieldPosition="0"/>
    </format>
    <format dxfId="152">
      <pivotArea outline="0" collapsedLevelsAreSubtotals="1" fieldPosition="0"/>
    </format>
    <format dxfId="151">
      <pivotArea field="0" type="button" dataOnly="0" labelOnly="1" outline="0" axis="axisRow" fieldPosition="0"/>
    </format>
    <format dxfId="150">
      <pivotArea dataOnly="0" labelOnly="1" fieldPosition="0">
        <references count="1">
          <reference field="0" count="0"/>
        </references>
      </pivotArea>
    </format>
    <format dxfId="149">
      <pivotArea dataOnly="0" labelOnly="1" grandRow="1" outline="0" fieldPosition="0"/>
    </format>
    <format dxfId="148">
      <pivotArea dataOnly="0" labelOnly="1" outline="0" fieldPosition="0">
        <references count="1">
          <reference field="4294967294" count="4">
            <x v="0"/>
            <x v="1"/>
            <x v="2"/>
            <x v="3"/>
          </reference>
        </references>
      </pivotArea>
    </format>
    <format dxfId="147">
      <pivotArea type="all" dataOnly="0" outline="0" fieldPosition="0"/>
    </format>
    <format dxfId="146">
      <pivotArea outline="0" collapsedLevelsAreSubtotals="1" fieldPosition="0"/>
    </format>
    <format dxfId="145">
      <pivotArea field="0" type="button" dataOnly="0" labelOnly="1" outline="0" axis="axisRow" fieldPosition="0"/>
    </format>
    <format dxfId="144">
      <pivotArea dataOnly="0" labelOnly="1" fieldPosition="0">
        <references count="1">
          <reference field="0" count="0"/>
        </references>
      </pivotArea>
    </format>
    <format dxfId="143">
      <pivotArea dataOnly="0" labelOnly="1" grandRow="1" outline="0" fieldPosition="0"/>
    </format>
    <format dxfId="142">
      <pivotArea dataOnly="0" labelOnly="1" outline="0" fieldPosition="0">
        <references count="1">
          <reference field="4294967294" count="4">
            <x v="0"/>
            <x v="1"/>
            <x v="2"/>
            <x v="3"/>
          </reference>
        </references>
      </pivotArea>
    </format>
  </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528273C-F2E7-4541-8D3A-FE188EF1FE2B}"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Customer">
  <location ref="B34:C45" firstHeaderRow="1" firstDataRow="1" firstDataCol="1"/>
  <pivotFields count="11">
    <pivotField showAll="0">
      <items count="5">
        <item x="3"/>
        <item x="2"/>
        <item x="1"/>
        <item x="0"/>
        <item t="default"/>
      </items>
    </pivotField>
    <pivotField showAll="0">
      <items count="11">
        <item x="0"/>
        <item x="9"/>
        <item x="1"/>
        <item x="2"/>
        <item x="3"/>
        <item x="4"/>
        <item x="5"/>
        <item x="6"/>
        <item x="7"/>
        <item x="8"/>
        <item t="default"/>
      </items>
    </pivotField>
    <pivotField showAll="0"/>
    <pivotField axis="axisRow" showAll="0" measureFilter="1">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10">
        <item x="0"/>
        <item x="1"/>
        <item x="2"/>
        <item x="3"/>
        <item x="4"/>
        <item x="5"/>
        <item x="6"/>
        <item x="7"/>
        <item x="8"/>
        <item t="default"/>
      </items>
    </pivotField>
    <pivotField dataField="1" numFmtId="3" showAll="0"/>
    <pivotField numFmtId="3" showAll="0"/>
    <pivotField numFmtId="3" showAll="0"/>
    <pivotField showAll="0"/>
    <pivotField showAll="0"/>
    <pivotField showAll="0"/>
  </pivotFields>
  <rowFields count="1">
    <field x="3"/>
  </rowFields>
  <rowItems count="11">
    <i>
      <x v="2"/>
    </i>
    <i>
      <x v="18"/>
    </i>
    <i>
      <x v="36"/>
    </i>
    <i>
      <x v="53"/>
    </i>
    <i>
      <x v="57"/>
    </i>
    <i>
      <x v="61"/>
    </i>
    <i>
      <x v="117"/>
    </i>
    <i>
      <x v="170"/>
    </i>
    <i>
      <x v="185"/>
    </i>
    <i>
      <x v="197"/>
    </i>
    <i t="grand">
      <x/>
    </i>
  </rowItems>
  <colItems count="1">
    <i/>
  </colItems>
  <dataFields count="1">
    <dataField name="Sum of Amount" fld="5" baseField="0" baseItem="0" numFmtId="3"/>
  </dataFields>
  <formats count="36">
    <format dxfId="225">
      <pivotArea type="all" dataOnly="0" outline="0" fieldPosition="0"/>
    </format>
    <format dxfId="224">
      <pivotArea outline="0" collapsedLevelsAreSubtotals="1" fieldPosition="0"/>
    </format>
    <format dxfId="223">
      <pivotArea field="3" type="button" dataOnly="0" labelOnly="1" outline="0" axis="axisRow" fieldPosition="0"/>
    </format>
    <format dxfId="222">
      <pivotArea dataOnly="0" labelOnly="1" fieldPosition="0">
        <references count="1">
          <reference field="3" count="10">
            <x v="2"/>
            <x v="18"/>
            <x v="36"/>
            <x v="53"/>
            <x v="57"/>
            <x v="61"/>
            <x v="117"/>
            <x v="170"/>
            <x v="185"/>
            <x v="197"/>
          </reference>
        </references>
      </pivotArea>
    </format>
    <format dxfId="221">
      <pivotArea dataOnly="0" labelOnly="1" grandRow="1" outline="0"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field="3" type="button" dataOnly="0" labelOnly="1" outline="0" axis="axisRow" fieldPosition="0"/>
    </format>
    <format dxfId="216">
      <pivotArea dataOnly="0" labelOnly="1" fieldPosition="0">
        <references count="1">
          <reference field="3" count="10">
            <x v="2"/>
            <x v="18"/>
            <x v="36"/>
            <x v="53"/>
            <x v="57"/>
            <x v="61"/>
            <x v="117"/>
            <x v="170"/>
            <x v="185"/>
            <x v="197"/>
          </reference>
        </references>
      </pivotArea>
    </format>
    <format dxfId="215">
      <pivotArea dataOnly="0" labelOnly="1" grandRow="1" outline="0" fieldPosition="0"/>
    </format>
    <format dxfId="214">
      <pivotArea dataOnly="0" labelOnly="1" outline="0" axis="axisValues" fieldPosition="0"/>
    </format>
    <format dxfId="213">
      <pivotArea type="all" dataOnly="0" outline="0" fieldPosition="0"/>
    </format>
    <format dxfId="212">
      <pivotArea outline="0" collapsedLevelsAreSubtotals="1" fieldPosition="0"/>
    </format>
    <format dxfId="211">
      <pivotArea field="3" type="button" dataOnly="0" labelOnly="1" outline="0" axis="axisRow" fieldPosition="0"/>
    </format>
    <format dxfId="210">
      <pivotArea dataOnly="0" labelOnly="1" fieldPosition="0">
        <references count="1">
          <reference field="3" count="10">
            <x v="2"/>
            <x v="18"/>
            <x v="36"/>
            <x v="53"/>
            <x v="57"/>
            <x v="61"/>
            <x v="117"/>
            <x v="170"/>
            <x v="185"/>
            <x v="197"/>
          </reference>
        </references>
      </pivotArea>
    </format>
    <format dxfId="209">
      <pivotArea dataOnly="0" labelOnly="1" grandRow="1" outline="0" fieldPosition="0"/>
    </format>
    <format dxfId="208">
      <pivotArea dataOnly="0" labelOnly="1" outline="0" axis="axisValues" fieldPosition="0"/>
    </format>
    <format dxfId="207">
      <pivotArea type="all" dataOnly="0" outline="0" fieldPosition="0"/>
    </format>
    <format dxfId="206">
      <pivotArea outline="0" collapsedLevelsAreSubtotals="1" fieldPosition="0"/>
    </format>
    <format dxfId="205">
      <pivotArea field="3" type="button" dataOnly="0" labelOnly="1" outline="0" axis="axisRow" fieldPosition="0"/>
    </format>
    <format dxfId="204">
      <pivotArea dataOnly="0" labelOnly="1" fieldPosition="0">
        <references count="1">
          <reference field="3" count="10">
            <x v="2"/>
            <x v="18"/>
            <x v="36"/>
            <x v="53"/>
            <x v="57"/>
            <x v="61"/>
            <x v="117"/>
            <x v="170"/>
            <x v="185"/>
            <x v="197"/>
          </reference>
        </references>
      </pivotArea>
    </format>
    <format dxfId="203">
      <pivotArea dataOnly="0" labelOnly="1" grandRow="1" outline="0" fieldPosition="0"/>
    </format>
    <format dxfId="202">
      <pivotArea dataOnly="0" labelOnly="1" outline="0" axis="axisValues" fieldPosition="0"/>
    </format>
    <format dxfId="201">
      <pivotArea type="all" dataOnly="0" outline="0" fieldPosition="0"/>
    </format>
    <format dxfId="200">
      <pivotArea outline="0" collapsedLevelsAreSubtotals="1" fieldPosition="0"/>
    </format>
    <format dxfId="199">
      <pivotArea field="3" type="button" dataOnly="0" labelOnly="1" outline="0" axis="axisRow" fieldPosition="0"/>
    </format>
    <format dxfId="198">
      <pivotArea dataOnly="0" labelOnly="1" fieldPosition="0">
        <references count="1">
          <reference field="3" count="10">
            <x v="2"/>
            <x v="18"/>
            <x v="36"/>
            <x v="53"/>
            <x v="57"/>
            <x v="61"/>
            <x v="117"/>
            <x v="170"/>
            <x v="185"/>
            <x v="197"/>
          </reference>
        </references>
      </pivotArea>
    </format>
    <format dxfId="197">
      <pivotArea dataOnly="0" labelOnly="1" grandRow="1" outline="0"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field="3" type="button" dataOnly="0" labelOnly="1" outline="0" axis="axisRow" fieldPosition="0"/>
    </format>
    <format dxfId="192">
      <pivotArea dataOnly="0" labelOnly="1" fieldPosition="0">
        <references count="1">
          <reference field="3" count="10">
            <x v="2"/>
            <x v="18"/>
            <x v="36"/>
            <x v="53"/>
            <x v="57"/>
            <x v="61"/>
            <x v="117"/>
            <x v="170"/>
            <x v="185"/>
            <x v="197"/>
          </reference>
        </references>
      </pivotArea>
    </format>
    <format dxfId="191">
      <pivotArea dataOnly="0" labelOnly="1" grandRow="1" outline="0" fieldPosition="0"/>
    </format>
    <format dxfId="190">
      <pivotArea dataOnly="0" labelOnly="1" outline="0" axis="axisValues"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AC585214-2EB1-4537-AFDF-3D31C7575372}" sourceName="Customer">
  <pivotTables>
    <pivotTable tabId="2" name="PivotTable9"/>
  </pivotTables>
  <data>
    <tabular pivotCacheId="183868984">
      <items count="200">
        <i x="0" s="1"/>
        <i x="9" s="1"/>
        <i x="99" s="1"/>
        <i x="100" s="1"/>
        <i x="101" s="1"/>
        <i x="102" s="1"/>
        <i x="103" s="1"/>
        <i x="104" s="1"/>
        <i x="105" s="1"/>
        <i x="106" s="1"/>
        <i x="107" s="1"/>
        <i x="108" s="1"/>
        <i x="10" s="1"/>
        <i x="109" s="1"/>
        <i x="110" s="1"/>
        <i x="111" s="1"/>
        <i x="112" s="1"/>
        <i x="113" s="1"/>
        <i x="114" s="1"/>
        <i x="115" s="1"/>
        <i x="116" s="1"/>
        <i x="117" s="1"/>
        <i x="118" s="1"/>
        <i x="11" s="1"/>
        <i x="119" s="1"/>
        <i x="120" s="1"/>
        <i x="121" s="1"/>
        <i x="122" s="1"/>
        <i x="123" s="1"/>
        <i x="124" s="1"/>
        <i x="125" s="1"/>
        <i x="126" s="1"/>
        <i x="127" s="1"/>
        <i x="128" s="1"/>
        <i x="12" s="1"/>
        <i x="129" s="1"/>
        <i x="130" s="1"/>
        <i x="131" s="1"/>
        <i x="132" s="1"/>
        <i x="133" s="1"/>
        <i x="134" s="1"/>
        <i x="135" s="1"/>
        <i x="136" s="1"/>
        <i x="137" s="1"/>
        <i x="138" s="1"/>
        <i x="13" s="1"/>
        <i x="139" s="1"/>
        <i x="140" s="1"/>
        <i x="141" s="1"/>
        <i x="142" s="1"/>
        <i x="143" s="1"/>
        <i x="144" s="1"/>
        <i x="145" s="1"/>
        <i x="146" s="1"/>
        <i x="147" s="1"/>
        <i x="148" s="1"/>
        <i x="14" s="1"/>
        <i x="149" s="1"/>
        <i x="150" s="1"/>
        <i x="151" s="1"/>
        <i x="152" s="1"/>
        <i x="153" s="1"/>
        <i x="154" s="1"/>
        <i x="155" s="1"/>
        <i x="156" s="1"/>
        <i x="157" s="1"/>
        <i x="158" s="1"/>
        <i x="15" s="1"/>
        <i x="159" s="1"/>
        <i x="160" s="1"/>
        <i x="161" s="1"/>
        <i x="162" s="1"/>
        <i x="163" s="1"/>
        <i x="164" s="1"/>
        <i x="165" s="1"/>
        <i x="166" s="1"/>
        <i x="167" s="1"/>
        <i x="168" s="1"/>
        <i x="16" s="1"/>
        <i x="169" s="1"/>
        <i x="170" s="1"/>
        <i x="171" s="1"/>
        <i x="172" s="1"/>
        <i x="173" s="1"/>
        <i x="174" s="1"/>
        <i x="175" s="1"/>
        <i x="176" s="1"/>
        <i x="177" s="1"/>
        <i x="178" s="1"/>
        <i x="17" s="1"/>
        <i x="179" s="1"/>
        <i x="180" s="1"/>
        <i x="181" s="1"/>
        <i x="182" s="1"/>
        <i x="183" s="1"/>
        <i x="184" s="1"/>
        <i x="185" s="1"/>
        <i x="186" s="1"/>
        <i x="187" s="1"/>
        <i x="188" s="1"/>
        <i x="18" s="1"/>
        <i x="189" s="1"/>
        <i x="190" s="1"/>
        <i x="191" s="1"/>
        <i x="192" s="1"/>
        <i x="193" s="1"/>
        <i x="194" s="1"/>
        <i x="195" s="1"/>
        <i x="196" s="1"/>
        <i x="197" s="1"/>
        <i x="198" s="1"/>
        <i x="1" s="1"/>
        <i x="19" s="1"/>
        <i x="199" s="1"/>
        <i x="20" s="1"/>
        <i x="21" s="1"/>
        <i x="22" s="1"/>
        <i x="23" s="1"/>
        <i x="24" s="1"/>
        <i x="25" s="1"/>
        <i x="26" s="1"/>
        <i x="27" s="1"/>
        <i x="28" s="1"/>
        <i x="2" s="1"/>
        <i x="29" s="1"/>
        <i x="30" s="1"/>
        <i x="31" s="1"/>
        <i x="32" s="1"/>
        <i x="33" s="1"/>
        <i x="34" s="1"/>
        <i x="35" s="1"/>
        <i x="36" s="1"/>
        <i x="37" s="1"/>
        <i x="38" s="1"/>
        <i x="3" s="1"/>
        <i x="39" s="1"/>
        <i x="40" s="1"/>
        <i x="41" s="1"/>
        <i x="42" s="1"/>
        <i x="43" s="1"/>
        <i x="44" s="1"/>
        <i x="45" s="1"/>
        <i x="46" s="1"/>
        <i x="47" s="1"/>
        <i x="48" s="1"/>
        <i x="4" s="1"/>
        <i x="49" s="1"/>
        <i x="50" s="1"/>
        <i x="51" s="1"/>
        <i x="52" s="1"/>
        <i x="53" s="1"/>
        <i x="54" s="1"/>
        <i x="55" s="1"/>
        <i x="56" s="1"/>
        <i x="57" s="1"/>
        <i x="58" s="1"/>
        <i x="5" s="1"/>
        <i x="59" s="1"/>
        <i x="60" s="1"/>
        <i x="61" s="1"/>
        <i x="62" s="1"/>
        <i x="63" s="1"/>
        <i x="64" s="1"/>
        <i x="65" s="1"/>
        <i x="66" s="1"/>
        <i x="67" s="1"/>
        <i x="68" s="1"/>
        <i x="6" s="1"/>
        <i x="69" s="1"/>
        <i x="70" s="1"/>
        <i x="71" s="1"/>
        <i x="72" s="1"/>
        <i x="73" s="1"/>
        <i x="74" s="1"/>
        <i x="75" s="1"/>
        <i x="76" s="1"/>
        <i x="77" s="1"/>
        <i x="78" s="1"/>
        <i x="7" s="1"/>
        <i x="79" s="1"/>
        <i x="80" s="1"/>
        <i x="81" s="1"/>
        <i x="82" s="1"/>
        <i x="83" s="1"/>
        <i x="84" s="1"/>
        <i x="85" s="1"/>
        <i x="86" s="1"/>
        <i x="87" s="1"/>
        <i x="88" s="1"/>
        <i x="8" s="1"/>
        <i x="89" s="1"/>
        <i x="90" s="1"/>
        <i x="91" s="1"/>
        <i x="92" s="1"/>
        <i x="93" s="1"/>
        <i x="94" s="1"/>
        <i x="95" s="1"/>
        <i x="96" s="1"/>
        <i x="97" s="1"/>
        <i x="9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F5371D2-A2E6-4E0F-B00E-1E9B17C8D741}" sourceName="Year">
  <pivotTables>
    <pivotTable tabId="5" name="PivotTable9"/>
    <pivotTable tabId="4" name="PivotTable14"/>
    <pivotTable tabId="4" name="PivotTable7"/>
    <pivotTable tabId="5" name="PivotTable4"/>
    <pivotTable tabId="5" name="PivotTable3"/>
    <pivotTable tabId="2" name="PivotTable10"/>
    <pivotTable tabId="2" name="PivotTable8"/>
    <pivotTable tabId="2" name="PivotTable6"/>
    <pivotTable tabId="2" name="PivotTable5"/>
    <pivotTable tabId="2" name="PivotTable4"/>
    <pivotTable tabId="2" name="PivotTable3"/>
    <pivotTable tabId="2" name="PivotTable2"/>
    <pivotTable tabId="2" name="PivotTable9"/>
    <pivotTable tabId="2" name="PivotTable12"/>
    <pivotTable tabId="5" name="PivotTable1"/>
    <pivotTable tabId="5" name="PivotTable13"/>
    <pivotTable tabId="5" name="PivotTable15"/>
    <pivotTable tabId="5" name="PivotTable16"/>
    <pivotTable tabId="5" name="PivotTable5"/>
    <pivotTable tabId="5" name="PivotTable6"/>
    <pivotTable tabId="5" name="PivotTable8"/>
  </pivotTables>
  <data>
    <tabular pivotCacheId="183868984">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1B2C1C54-027A-429A-8A9D-01CD4BDDF6B6}" sourceName="Salesperson">
  <pivotTables>
    <pivotTable tabId="5" name="PivotTable9"/>
    <pivotTable tabId="4" name="PivotTable14"/>
    <pivotTable tabId="4" name="PivotTable7"/>
    <pivotTable tabId="5" name="PivotTable4"/>
    <pivotTable tabId="5" name="PivotTable3"/>
    <pivotTable tabId="2" name="PivotTable10"/>
    <pivotTable tabId="2" name="PivotTable8"/>
    <pivotTable tabId="2" name="PivotTable6"/>
    <pivotTable tabId="2" name="PivotTable5"/>
    <pivotTable tabId="2" name="PivotTable4"/>
    <pivotTable tabId="2" name="PivotTable3"/>
    <pivotTable tabId="2" name="PivotTable2"/>
    <pivotTable tabId="2" name="PivotTable9"/>
    <pivotTable tabId="2" name="PivotTable12"/>
    <pivotTable tabId="5" name="PivotTable1"/>
    <pivotTable tabId="5" name="PivotTable13"/>
    <pivotTable tabId="5" name="PivotTable15"/>
    <pivotTable tabId="5" name="PivotTable16"/>
    <pivotTable tabId="5" name="PivotTable5"/>
    <pivotTable tabId="5" name="PivotTable6"/>
    <pivotTable tabId="5" name="PivotTable8"/>
  </pivotTables>
  <data>
    <tabular pivotCacheId="183868984">
      <items count="10">
        <i x="0" s="1"/>
        <i x="9" s="1"/>
        <i x="1" s="1"/>
        <i x="2" s="1"/>
        <i x="3" s="1"/>
        <i x="4" s="1"/>
        <i x="5" s="1"/>
        <i x="6" s="1"/>
        <i x="7"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B1F4AE9C-85D1-403A-9B46-A11908A731A9}" sourceName="Product">
  <pivotTables>
    <pivotTable tabId="5" name="PivotTable9"/>
    <pivotTable tabId="4" name="PivotTable14"/>
    <pivotTable tabId="4" name="PivotTable7"/>
    <pivotTable tabId="5" name="PivotTable4"/>
    <pivotTable tabId="5" name="PivotTable3"/>
    <pivotTable tabId="2" name="PivotTable10"/>
    <pivotTable tabId="2" name="PivotTable8"/>
    <pivotTable tabId="2" name="PivotTable6"/>
    <pivotTable tabId="2" name="PivotTable5"/>
    <pivotTable tabId="2" name="PivotTable4"/>
    <pivotTable tabId="2" name="PivotTable3"/>
    <pivotTable tabId="2" name="PivotTable2"/>
    <pivotTable tabId="2" name="PivotTable9"/>
    <pivotTable tabId="2" name="PivotTable12"/>
    <pivotTable tabId="5" name="PivotTable1"/>
    <pivotTable tabId="5" name="PivotTable13"/>
    <pivotTable tabId="5" name="PivotTable15"/>
    <pivotTable tabId="5" name="PivotTable16"/>
    <pivotTable tabId="5" name="PivotTable5"/>
    <pivotTable tabId="5" name="PivotTable6"/>
    <pivotTable tabId="5" name="PivotTable8"/>
  </pivotTables>
  <data>
    <tabular pivotCacheId="183868984">
      <items count="9">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3701D8BC-C4F5-4204-8E1E-43E14CC6D6C5}" cache="Slicer_Customer" caption="Customer" style="SlicerStyleDark1" rowHeight="234950"/>
  <slicer name="Year" xr10:uid="{877B9F29-BE48-4C63-8825-56F2689742AB}" cache="Slicer_Year1" caption="Year" style="SlicerStyleDark1" rowHeight="234950"/>
  <slicer name="Salesperson" xr10:uid="{B9DBFDF4-A35E-4ECB-8D09-02E8AD7A90CE}" cache="Slicer_Salesperson1" caption="Salesperson" style="SlicerStyleDark1" rowHeight="234950"/>
  <slicer name="Product" xr10:uid="{D7838D55-23CC-4E1E-9DF7-2F2BFA5AB527}" cache="Slicer_Product1" caption="Product"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D643F02-C2FA-4F7A-8966-CC230C699E8E}" cache="Slicer_Year1" caption="Year" style="SlicerStyleDark1" rowHeight="234950"/>
  <slicer name="Salesperson 1" xr10:uid="{632E288C-73B3-4368-9CCA-F5F8FEAA46FB}" cache="Slicer_Salesperson1" caption="Salesperson" style="SlicerStyleDark6" rowHeight="234950"/>
  <slicer name="Product 1" xr10:uid="{A6660128-BE70-44AF-B11D-2531FA14C63E}" cache="Slicer_Product1" caption="Product"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CFB63A-5600-482F-BE5B-C8E438F5C0FC}" name="SalesData" displayName="SalesData" ref="A1:K806" totalsRowCount="1" headerRowDxfId="141" dataDxfId="139" totalsRowDxfId="138" headerRowBorderDxfId="140">
  <autoFilter ref="A1:K805" xr:uid="{2BCFB63A-5600-482F-BE5B-C8E438F5C0FC}"/>
  <sortState xmlns:xlrd2="http://schemas.microsoft.com/office/spreadsheetml/2017/richdata2" ref="A2:H805">
    <sortCondition descending="1" ref="A1:A805"/>
  </sortState>
  <tableColumns count="11">
    <tableColumn id="8" xr3:uid="{DE3018D7-437E-4B5E-B4B3-E861B44C4786}" name="Year" totalsRowFunction="count" dataDxfId="137" totalsRowDxfId="136"/>
    <tableColumn id="5" xr3:uid="{A979D077-B69A-447C-B24B-90593DDA9A0A}" name="Salesperson" dataDxfId="135" totalsRowDxfId="134"/>
    <tableColumn id="6" xr3:uid="{15A9502B-33B6-4300-9A30-84EB0A15622D}" name="Customer ID" dataDxfId="133" totalsRowDxfId="132"/>
    <tableColumn id="7" xr3:uid="{66E9E2EA-B439-4E77-9C69-153F0F4F64AF}" name="Customer" dataDxfId="131" totalsRowDxfId="130"/>
    <tableColumn id="9" xr3:uid="{549B2396-02A4-40D4-A9A9-6E29670A964D}" name="Product" dataDxfId="129" totalsRowDxfId="128"/>
    <tableColumn id="10" xr3:uid="{DCAF44A1-6711-4099-A2EF-99DCDB68392D}" name="Amount" totalsRowFunction="sum" dataDxfId="127" totalsRowDxfId="126"/>
    <tableColumn id="11" xr3:uid="{41D5EE47-0538-46A8-9B22-7B16174AC70B}" name="Offers" totalsRowFunction="sum" dataDxfId="125" totalsRowDxfId="124"/>
    <tableColumn id="12" xr3:uid="{5E54F699-9D38-44DA-9A62-F8314404C4C6}" name="Orders" totalsRowFunction="sum" dataDxfId="123" totalsRowDxfId="122"/>
    <tableColumn id="1" xr3:uid="{C4B71912-CC8D-4DCF-A27E-C5A690BEF198}" name="Month" dataDxfId="121" totalsRowDxfId="120"/>
    <tableColumn id="2" xr3:uid="{3B9CCAD1-5B21-49E0-B8BF-4994FEB7AE61}" name="Quantity" dataDxfId="119" totalsRowDxfId="118"/>
    <tableColumn id="3" xr3:uid="{6D00E2B4-140B-4D7E-893B-F969AEA2C9A6}" name="Transaction" dataDxfId="117" totalsRowDxfId="116"/>
  </tableColumns>
  <tableStyleInfo name="TableStyleLight1 2" showFirstColumn="0" showLastColumn="0" showRowStripes="0"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drawing" Target="../drawings/drawing3.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1.xml"/><Relationship Id="rId1" Type="http://schemas.openxmlformats.org/officeDocument/2006/relationships/pivotTable" Target="../pivotTables/pivotTable20.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6"/>
  <sheetViews>
    <sheetView topLeftCell="A2" workbookViewId="0">
      <selection activeCell="B13" sqref="B13"/>
    </sheetView>
  </sheetViews>
  <sheetFormatPr defaultRowHeight="14.4" x14ac:dyDescent="0.3"/>
  <cols>
    <col min="1" max="1" width="12.77734375" bestFit="1" customWidth="1"/>
    <col min="2" max="2" width="24.5546875" bestFit="1" customWidth="1"/>
    <col min="3" max="3" width="25" bestFit="1" customWidth="1"/>
    <col min="4" max="4" width="32.44140625" bestFit="1" customWidth="1"/>
    <col min="5" max="5" width="18.33203125" bestFit="1" customWidth="1"/>
    <col min="6" max="6" width="20.6640625" bestFit="1" customWidth="1"/>
    <col min="7" max="7" width="15.21875" bestFit="1" customWidth="1"/>
    <col min="8" max="9" width="16.33203125" bestFit="1" customWidth="1"/>
    <col min="10" max="10" width="19.44140625" bestFit="1" customWidth="1"/>
    <col min="11" max="11" width="23.88671875" bestFit="1" customWidth="1"/>
  </cols>
  <sheetData>
    <row r="1" spans="1:11" ht="25.8" x14ac:dyDescent="0.3">
      <c r="A1" s="1" t="s">
        <v>0</v>
      </c>
      <c r="B1" s="1" t="s">
        <v>1</v>
      </c>
      <c r="C1" s="1" t="s">
        <v>2</v>
      </c>
      <c r="D1" s="1" t="s">
        <v>3</v>
      </c>
      <c r="E1" s="1" t="s">
        <v>4</v>
      </c>
      <c r="F1" s="1" t="s">
        <v>5</v>
      </c>
      <c r="G1" s="1" t="s">
        <v>6</v>
      </c>
      <c r="H1" s="1" t="s">
        <v>7</v>
      </c>
      <c r="I1" s="17" t="s">
        <v>247</v>
      </c>
      <c r="J1" s="17" t="s">
        <v>248</v>
      </c>
      <c r="K1" s="17" t="s">
        <v>249</v>
      </c>
    </row>
    <row r="2" spans="1:11" ht="25.8" x14ac:dyDescent="0.5">
      <c r="A2" s="2">
        <v>2024</v>
      </c>
      <c r="B2" s="2" t="s">
        <v>8</v>
      </c>
      <c r="C2" s="2" t="s">
        <v>9</v>
      </c>
      <c r="D2" s="2" t="s">
        <v>10</v>
      </c>
      <c r="E2" s="2" t="s">
        <v>11</v>
      </c>
      <c r="F2" s="3">
        <v>143372.43648000003</v>
      </c>
      <c r="G2" s="3">
        <v>795</v>
      </c>
      <c r="H2" s="3">
        <v>469</v>
      </c>
      <c r="I2" s="3" t="s">
        <v>250</v>
      </c>
      <c r="J2" s="18">
        <v>747</v>
      </c>
      <c r="K2" s="18">
        <v>1</v>
      </c>
    </row>
    <row r="3" spans="1:11" ht="25.8" x14ac:dyDescent="0.5">
      <c r="A3" s="2">
        <v>2024</v>
      </c>
      <c r="B3" s="2" t="s">
        <v>12</v>
      </c>
      <c r="C3" s="2" t="s">
        <v>9</v>
      </c>
      <c r="D3" s="2" t="s">
        <v>13</v>
      </c>
      <c r="E3" s="2" t="s">
        <v>14</v>
      </c>
      <c r="F3" s="3">
        <v>146688.046848</v>
      </c>
      <c r="G3" s="3">
        <v>312</v>
      </c>
      <c r="H3" s="3">
        <v>983</v>
      </c>
      <c r="I3" s="3" t="s">
        <v>251</v>
      </c>
      <c r="J3" s="18">
        <v>1291</v>
      </c>
      <c r="K3" s="18">
        <v>1</v>
      </c>
    </row>
    <row r="4" spans="1:11" ht="25.8" x14ac:dyDescent="0.5">
      <c r="A4" s="2">
        <v>2024</v>
      </c>
      <c r="B4" s="2" t="s">
        <v>15</v>
      </c>
      <c r="C4" s="2" t="s">
        <v>9</v>
      </c>
      <c r="D4" s="2" t="s">
        <v>16</v>
      </c>
      <c r="E4" s="2" t="s">
        <v>17</v>
      </c>
      <c r="F4" s="3">
        <v>154878.15168000001</v>
      </c>
      <c r="G4" s="3">
        <v>795</v>
      </c>
      <c r="H4" s="3">
        <v>469</v>
      </c>
      <c r="I4" s="3" t="s">
        <v>252</v>
      </c>
      <c r="J4" s="18">
        <v>1006</v>
      </c>
      <c r="K4" s="18">
        <v>1</v>
      </c>
    </row>
    <row r="5" spans="1:11" ht="25.8" x14ac:dyDescent="0.5">
      <c r="A5" s="2">
        <v>2024</v>
      </c>
      <c r="B5" s="2" t="s">
        <v>18</v>
      </c>
      <c r="C5" s="2" t="s">
        <v>9</v>
      </c>
      <c r="D5" s="2" t="s">
        <v>19</v>
      </c>
      <c r="E5" s="2" t="s">
        <v>20</v>
      </c>
      <c r="F5" s="3">
        <v>162358.269696</v>
      </c>
      <c r="G5" s="3">
        <v>692</v>
      </c>
      <c r="H5" s="3">
        <v>300</v>
      </c>
      <c r="I5" s="3" t="s">
        <v>253</v>
      </c>
      <c r="J5" s="18">
        <v>499</v>
      </c>
      <c r="K5" s="18">
        <v>1</v>
      </c>
    </row>
    <row r="6" spans="1:11" ht="25.8" x14ac:dyDescent="0.5">
      <c r="A6" s="2">
        <v>2024</v>
      </c>
      <c r="B6" s="2" t="s">
        <v>18</v>
      </c>
      <c r="C6" s="2" t="s">
        <v>9</v>
      </c>
      <c r="D6" s="2" t="s">
        <v>21</v>
      </c>
      <c r="E6" s="2" t="s">
        <v>22</v>
      </c>
      <c r="F6" s="3">
        <v>173427.6096</v>
      </c>
      <c r="G6" s="3">
        <v>692</v>
      </c>
      <c r="H6" s="3">
        <v>300</v>
      </c>
      <c r="I6" s="3" t="s">
        <v>254</v>
      </c>
      <c r="J6" s="18">
        <v>606</v>
      </c>
      <c r="K6" s="18">
        <v>1</v>
      </c>
    </row>
    <row r="7" spans="1:11" ht="25.8" x14ac:dyDescent="0.5">
      <c r="A7" s="2">
        <v>2024</v>
      </c>
      <c r="B7" s="2" t="s">
        <v>23</v>
      </c>
      <c r="C7" s="2" t="s">
        <v>9</v>
      </c>
      <c r="D7" s="2" t="s">
        <v>24</v>
      </c>
      <c r="E7" s="2" t="s">
        <v>11</v>
      </c>
      <c r="F7" s="3">
        <v>180011.123712</v>
      </c>
      <c r="G7" s="3">
        <v>403</v>
      </c>
      <c r="H7" s="3">
        <v>953</v>
      </c>
      <c r="I7" s="3" t="s">
        <v>255</v>
      </c>
      <c r="J7" s="18">
        <v>1367</v>
      </c>
      <c r="K7" s="18">
        <v>1</v>
      </c>
    </row>
    <row r="8" spans="1:11" ht="25.8" x14ac:dyDescent="0.5">
      <c r="A8" s="2">
        <v>2024</v>
      </c>
      <c r="B8" s="2" t="s">
        <v>18</v>
      </c>
      <c r="C8" s="2" t="s">
        <v>9</v>
      </c>
      <c r="D8" s="2" t="s">
        <v>25</v>
      </c>
      <c r="E8" s="2" t="s">
        <v>26</v>
      </c>
      <c r="F8" s="3">
        <v>181755.22176000001</v>
      </c>
      <c r="G8" s="3">
        <v>168</v>
      </c>
      <c r="H8" s="3">
        <v>97</v>
      </c>
      <c r="I8" s="3" t="s">
        <v>256</v>
      </c>
      <c r="J8" s="18">
        <v>138</v>
      </c>
      <c r="K8" s="18">
        <v>1</v>
      </c>
    </row>
    <row r="9" spans="1:11" ht="25.8" x14ac:dyDescent="0.5">
      <c r="A9" s="2">
        <v>2024</v>
      </c>
      <c r="B9" s="2" t="s">
        <v>27</v>
      </c>
      <c r="C9" s="2" t="s">
        <v>9</v>
      </c>
      <c r="D9" s="2" t="s">
        <v>28</v>
      </c>
      <c r="E9" s="2" t="s">
        <v>22</v>
      </c>
      <c r="F9" s="3">
        <v>185515.62623999998</v>
      </c>
      <c r="G9" s="3">
        <v>839</v>
      </c>
      <c r="H9" s="3">
        <v>983</v>
      </c>
      <c r="I9" s="3" t="s">
        <v>257</v>
      </c>
      <c r="J9" s="18">
        <v>1641</v>
      </c>
      <c r="K9" s="18">
        <v>1</v>
      </c>
    </row>
    <row r="10" spans="1:11" ht="25.8" x14ac:dyDescent="0.5">
      <c r="A10" s="2">
        <v>2024</v>
      </c>
      <c r="B10" s="2" t="s">
        <v>29</v>
      </c>
      <c r="C10" s="2" t="s">
        <v>9</v>
      </c>
      <c r="D10" s="2" t="s">
        <v>30</v>
      </c>
      <c r="E10" s="2" t="s">
        <v>11</v>
      </c>
      <c r="F10" s="3">
        <v>189205.87391999998</v>
      </c>
      <c r="G10" s="3">
        <v>610</v>
      </c>
      <c r="H10" s="3">
        <v>970</v>
      </c>
      <c r="I10" s="3" t="s">
        <v>258</v>
      </c>
      <c r="J10" s="18">
        <v>1158</v>
      </c>
      <c r="K10" s="18">
        <v>1</v>
      </c>
    </row>
    <row r="11" spans="1:11" ht="25.8" x14ac:dyDescent="0.5">
      <c r="A11" s="2">
        <v>2024</v>
      </c>
      <c r="B11" s="2" t="s">
        <v>12</v>
      </c>
      <c r="C11" s="2" t="s">
        <v>9</v>
      </c>
      <c r="D11" s="2" t="s">
        <v>31</v>
      </c>
      <c r="E11" s="2" t="s">
        <v>14</v>
      </c>
      <c r="F11" s="3">
        <v>201783.585024</v>
      </c>
      <c r="G11" s="3">
        <v>168</v>
      </c>
      <c r="H11" s="3">
        <v>97</v>
      </c>
      <c r="I11" s="3" t="s">
        <v>259</v>
      </c>
      <c r="J11" s="18">
        <v>236</v>
      </c>
      <c r="K11" s="18">
        <v>1</v>
      </c>
    </row>
    <row r="12" spans="1:11" ht="25.8" x14ac:dyDescent="0.5">
      <c r="A12" s="2">
        <v>2024</v>
      </c>
      <c r="B12" s="2" t="s">
        <v>12</v>
      </c>
      <c r="C12" s="2" t="s">
        <v>9</v>
      </c>
      <c r="D12" s="2" t="s">
        <v>32</v>
      </c>
      <c r="E12" s="2" t="s">
        <v>14</v>
      </c>
      <c r="F12" s="3">
        <v>205856.888832</v>
      </c>
      <c r="G12" s="3">
        <v>610</v>
      </c>
      <c r="H12" s="3">
        <v>970</v>
      </c>
      <c r="I12" s="3" t="s">
        <v>260</v>
      </c>
      <c r="J12" s="18">
        <v>1171</v>
      </c>
      <c r="K12" s="18">
        <v>1</v>
      </c>
    </row>
    <row r="13" spans="1:11" ht="25.8" x14ac:dyDescent="0.5">
      <c r="A13" s="2">
        <v>2024</v>
      </c>
      <c r="B13" s="2" t="s">
        <v>29</v>
      </c>
      <c r="C13" s="2" t="s">
        <v>9</v>
      </c>
      <c r="D13" s="2" t="s">
        <v>33</v>
      </c>
      <c r="E13" s="2" t="s">
        <v>14</v>
      </c>
      <c r="F13" s="3">
        <v>209180.91801600001</v>
      </c>
      <c r="G13" s="3">
        <v>287</v>
      </c>
      <c r="H13" s="3">
        <v>744</v>
      </c>
      <c r="I13" s="3" t="s">
        <v>261</v>
      </c>
      <c r="J13" s="18">
        <v>1841</v>
      </c>
      <c r="K13" s="18">
        <v>1</v>
      </c>
    </row>
    <row r="14" spans="1:11" ht="25.8" x14ac:dyDescent="0.5">
      <c r="A14" s="2">
        <v>2024</v>
      </c>
      <c r="B14" s="2" t="s">
        <v>27</v>
      </c>
      <c r="C14" s="2" t="s">
        <v>9</v>
      </c>
      <c r="D14" s="2" t="s">
        <v>34</v>
      </c>
      <c r="E14" s="2" t="s">
        <v>35</v>
      </c>
      <c r="F14" s="3">
        <v>209903.53305599999</v>
      </c>
      <c r="G14" s="3">
        <v>168</v>
      </c>
      <c r="H14" s="3">
        <v>97</v>
      </c>
      <c r="I14" s="3" t="s">
        <v>250</v>
      </c>
      <c r="J14" s="18">
        <v>162</v>
      </c>
      <c r="K14" s="18">
        <v>1</v>
      </c>
    </row>
    <row r="15" spans="1:11" ht="25.8" x14ac:dyDescent="0.5">
      <c r="A15" s="2">
        <v>2024</v>
      </c>
      <c r="B15" s="2" t="s">
        <v>27</v>
      </c>
      <c r="C15" s="2" t="s">
        <v>9</v>
      </c>
      <c r="D15" s="2" t="s">
        <v>36</v>
      </c>
      <c r="E15" s="2" t="s">
        <v>22</v>
      </c>
      <c r="F15" s="3">
        <v>213040.945152</v>
      </c>
      <c r="G15" s="3">
        <v>168</v>
      </c>
      <c r="H15" s="3">
        <v>97</v>
      </c>
      <c r="I15" s="3" t="s">
        <v>251</v>
      </c>
      <c r="J15" s="18">
        <v>226</v>
      </c>
      <c r="K15" s="18">
        <v>1</v>
      </c>
    </row>
    <row r="16" spans="1:11" ht="25.8" x14ac:dyDescent="0.5">
      <c r="A16" s="2">
        <v>2024</v>
      </c>
      <c r="B16" s="2" t="s">
        <v>23</v>
      </c>
      <c r="C16" s="2" t="s">
        <v>9</v>
      </c>
      <c r="D16" s="2" t="s">
        <v>37</v>
      </c>
      <c r="E16" s="2" t="s">
        <v>38</v>
      </c>
      <c r="F16" s="3">
        <v>213341.21625599999</v>
      </c>
      <c r="G16" s="3">
        <v>692</v>
      </c>
      <c r="H16" s="3">
        <v>300</v>
      </c>
      <c r="I16" s="3" t="s">
        <v>252</v>
      </c>
      <c r="J16" s="18">
        <v>476</v>
      </c>
      <c r="K16" s="18">
        <v>1</v>
      </c>
    </row>
    <row r="17" spans="1:11" ht="25.8" x14ac:dyDescent="0.5">
      <c r="A17" s="2">
        <v>2024</v>
      </c>
      <c r="B17" s="2" t="s">
        <v>18</v>
      </c>
      <c r="C17" s="2" t="s">
        <v>9</v>
      </c>
      <c r="D17" s="2" t="s">
        <v>39</v>
      </c>
      <c r="E17" s="2" t="s">
        <v>35</v>
      </c>
      <c r="F17" s="3">
        <v>226860.43161599999</v>
      </c>
      <c r="G17" s="3">
        <v>784</v>
      </c>
      <c r="H17" s="3">
        <v>540</v>
      </c>
      <c r="I17" s="3" t="s">
        <v>253</v>
      </c>
      <c r="J17" s="18">
        <v>734</v>
      </c>
      <c r="K17" s="18">
        <v>1</v>
      </c>
    </row>
    <row r="18" spans="1:11" ht="25.8" x14ac:dyDescent="0.5">
      <c r="A18" s="2">
        <v>2024</v>
      </c>
      <c r="B18" s="2" t="s">
        <v>8</v>
      </c>
      <c r="C18" s="2" t="s">
        <v>9</v>
      </c>
      <c r="D18" s="2" t="s">
        <v>40</v>
      </c>
      <c r="E18" s="2" t="s">
        <v>22</v>
      </c>
      <c r="F18" s="3">
        <v>232402.81881600001</v>
      </c>
      <c r="G18" s="3">
        <v>872</v>
      </c>
      <c r="H18" s="3">
        <v>249</v>
      </c>
      <c r="I18" s="3" t="s">
        <v>254</v>
      </c>
      <c r="J18" s="18">
        <v>496</v>
      </c>
      <c r="K18" s="18">
        <v>1</v>
      </c>
    </row>
    <row r="19" spans="1:11" ht="25.8" x14ac:dyDescent="0.5">
      <c r="A19" s="2">
        <v>2024</v>
      </c>
      <c r="B19" s="2" t="s">
        <v>12</v>
      </c>
      <c r="C19" s="2" t="s">
        <v>9</v>
      </c>
      <c r="D19" s="2" t="s">
        <v>41</v>
      </c>
      <c r="E19" s="2" t="s">
        <v>11</v>
      </c>
      <c r="F19" s="3">
        <v>232412.64076799998</v>
      </c>
      <c r="G19" s="3">
        <v>692</v>
      </c>
      <c r="H19" s="3">
        <v>300</v>
      </c>
      <c r="I19" s="3" t="s">
        <v>255</v>
      </c>
      <c r="J19" s="18">
        <v>381</v>
      </c>
      <c r="K19" s="18">
        <v>1</v>
      </c>
    </row>
    <row r="20" spans="1:11" ht="25.8" x14ac:dyDescent="0.5">
      <c r="A20" s="2">
        <v>2024</v>
      </c>
      <c r="B20" s="2" t="s">
        <v>12</v>
      </c>
      <c r="C20" s="2" t="s">
        <v>9</v>
      </c>
      <c r="D20" s="2" t="s">
        <v>42</v>
      </c>
      <c r="E20" s="2" t="s">
        <v>11</v>
      </c>
      <c r="F20" s="3">
        <v>233591.27500799997</v>
      </c>
      <c r="G20" s="3">
        <v>872</v>
      </c>
      <c r="H20" s="3">
        <v>249</v>
      </c>
      <c r="I20" s="3" t="s">
        <v>256</v>
      </c>
      <c r="J20" s="18">
        <v>516</v>
      </c>
      <c r="K20" s="18">
        <v>1</v>
      </c>
    </row>
    <row r="21" spans="1:11" ht="25.8" x14ac:dyDescent="0.5">
      <c r="A21" s="2">
        <v>2024</v>
      </c>
      <c r="B21" s="2" t="s">
        <v>12</v>
      </c>
      <c r="C21" s="2" t="s">
        <v>9</v>
      </c>
      <c r="D21" s="2" t="s">
        <v>43</v>
      </c>
      <c r="E21" s="2" t="s">
        <v>22</v>
      </c>
      <c r="F21" s="3">
        <v>249246.06336</v>
      </c>
      <c r="G21" s="3">
        <v>872</v>
      </c>
      <c r="H21" s="3">
        <v>249</v>
      </c>
      <c r="I21" s="3" t="s">
        <v>257</v>
      </c>
      <c r="J21" s="18">
        <v>462</v>
      </c>
      <c r="K21" s="18">
        <v>1</v>
      </c>
    </row>
    <row r="22" spans="1:11" ht="25.8" x14ac:dyDescent="0.5">
      <c r="A22" s="2">
        <v>2024</v>
      </c>
      <c r="B22" s="2" t="s">
        <v>27</v>
      </c>
      <c r="C22" s="2" t="s">
        <v>9</v>
      </c>
      <c r="D22" s="2" t="s">
        <v>44</v>
      </c>
      <c r="E22" s="2" t="s">
        <v>35</v>
      </c>
      <c r="F22" s="3">
        <v>250173.53625599999</v>
      </c>
      <c r="G22" s="3">
        <v>610</v>
      </c>
      <c r="H22" s="3">
        <v>970</v>
      </c>
      <c r="I22" s="3" t="s">
        <v>258</v>
      </c>
      <c r="J22" s="18">
        <v>2170</v>
      </c>
      <c r="K22" s="18">
        <v>1</v>
      </c>
    </row>
    <row r="23" spans="1:11" ht="25.8" x14ac:dyDescent="0.5">
      <c r="A23" s="2">
        <v>2024</v>
      </c>
      <c r="B23" s="2" t="s">
        <v>29</v>
      </c>
      <c r="C23" s="2" t="s">
        <v>9</v>
      </c>
      <c r="D23" s="2" t="s">
        <v>45</v>
      </c>
      <c r="E23" s="2" t="s">
        <v>17</v>
      </c>
      <c r="F23" s="3">
        <v>256566.223872</v>
      </c>
      <c r="G23" s="3">
        <v>784</v>
      </c>
      <c r="H23" s="3">
        <v>540</v>
      </c>
      <c r="I23" s="3" t="s">
        <v>259</v>
      </c>
      <c r="J23" s="18">
        <v>946</v>
      </c>
      <c r="K23" s="18">
        <v>1</v>
      </c>
    </row>
    <row r="24" spans="1:11" ht="25.8" x14ac:dyDescent="0.5">
      <c r="A24" s="2">
        <v>2024</v>
      </c>
      <c r="B24" s="2" t="s">
        <v>15</v>
      </c>
      <c r="C24" s="2" t="s">
        <v>9</v>
      </c>
      <c r="D24" s="2" t="s">
        <v>46</v>
      </c>
      <c r="E24" s="2" t="s">
        <v>11</v>
      </c>
      <c r="F24" s="3">
        <v>258394.51008000001</v>
      </c>
      <c r="G24" s="3">
        <v>795</v>
      </c>
      <c r="H24" s="3">
        <v>469</v>
      </c>
      <c r="I24" s="3" t="s">
        <v>260</v>
      </c>
      <c r="J24" s="18">
        <v>829</v>
      </c>
      <c r="K24" s="18">
        <v>1</v>
      </c>
    </row>
    <row r="25" spans="1:11" ht="25.8" x14ac:dyDescent="0.5">
      <c r="A25" s="2">
        <v>2024</v>
      </c>
      <c r="B25" s="2" t="s">
        <v>27</v>
      </c>
      <c r="C25" s="2" t="s">
        <v>9</v>
      </c>
      <c r="D25" s="2" t="s">
        <v>47</v>
      </c>
      <c r="E25" s="2" t="s">
        <v>38</v>
      </c>
      <c r="F25" s="3">
        <v>261909.36576000002</v>
      </c>
      <c r="G25" s="3">
        <v>287</v>
      </c>
      <c r="H25" s="3">
        <v>744</v>
      </c>
      <c r="I25" s="3" t="s">
        <v>261</v>
      </c>
      <c r="J25" s="18">
        <v>1497</v>
      </c>
      <c r="K25" s="18">
        <v>1</v>
      </c>
    </row>
    <row r="26" spans="1:11" ht="25.8" x14ac:dyDescent="0.5">
      <c r="A26" s="2">
        <v>2024</v>
      </c>
      <c r="B26" s="2" t="s">
        <v>23</v>
      </c>
      <c r="C26" s="2" t="s">
        <v>9</v>
      </c>
      <c r="D26" s="2" t="s">
        <v>48</v>
      </c>
      <c r="E26" s="2" t="s">
        <v>22</v>
      </c>
      <c r="F26" s="3">
        <v>263263.39199999999</v>
      </c>
      <c r="G26" s="3">
        <v>93</v>
      </c>
      <c r="H26" s="3">
        <v>852</v>
      </c>
      <c r="I26" s="3" t="s">
        <v>250</v>
      </c>
      <c r="J26" s="18">
        <v>1148</v>
      </c>
      <c r="K26" s="18">
        <v>1</v>
      </c>
    </row>
    <row r="27" spans="1:11" ht="25.8" x14ac:dyDescent="0.5">
      <c r="A27" s="2">
        <v>2024</v>
      </c>
      <c r="B27" s="2" t="s">
        <v>12</v>
      </c>
      <c r="C27" s="2" t="s">
        <v>9</v>
      </c>
      <c r="D27" s="2" t="s">
        <v>49</v>
      </c>
      <c r="E27" s="2" t="s">
        <v>38</v>
      </c>
      <c r="F27" s="3">
        <v>273365.97120000003</v>
      </c>
      <c r="G27" s="3">
        <v>403</v>
      </c>
      <c r="H27" s="3">
        <v>953</v>
      </c>
      <c r="I27" s="3" t="s">
        <v>251</v>
      </c>
      <c r="J27" s="18">
        <v>2270</v>
      </c>
      <c r="K27" s="18">
        <v>1</v>
      </c>
    </row>
    <row r="28" spans="1:11" ht="25.8" x14ac:dyDescent="0.5">
      <c r="A28" s="2">
        <v>2024</v>
      </c>
      <c r="B28" s="2" t="s">
        <v>50</v>
      </c>
      <c r="C28" s="2" t="s">
        <v>9</v>
      </c>
      <c r="D28" s="2" t="s">
        <v>51</v>
      </c>
      <c r="E28" s="2" t="s">
        <v>22</v>
      </c>
      <c r="F28" s="3">
        <v>274155.93676800001</v>
      </c>
      <c r="G28" s="3">
        <v>968</v>
      </c>
      <c r="H28" s="3">
        <v>330</v>
      </c>
      <c r="I28" s="3" t="s">
        <v>252</v>
      </c>
      <c r="J28" s="18">
        <v>451</v>
      </c>
      <c r="K28" s="18">
        <v>1</v>
      </c>
    </row>
    <row r="29" spans="1:11" ht="25.8" x14ac:dyDescent="0.5">
      <c r="A29" s="2">
        <v>2024</v>
      </c>
      <c r="B29" s="2" t="s">
        <v>27</v>
      </c>
      <c r="C29" s="2" t="s">
        <v>9</v>
      </c>
      <c r="D29" s="2" t="s">
        <v>52</v>
      </c>
      <c r="E29" s="2" t="s">
        <v>22</v>
      </c>
      <c r="F29" s="3">
        <v>275219.51385599998</v>
      </c>
      <c r="G29" s="3">
        <v>749</v>
      </c>
      <c r="H29" s="3">
        <v>648</v>
      </c>
      <c r="I29" s="3" t="s">
        <v>253</v>
      </c>
      <c r="J29" s="18">
        <v>1161</v>
      </c>
      <c r="K29" s="18">
        <v>1</v>
      </c>
    </row>
    <row r="30" spans="1:11" ht="25.8" x14ac:dyDescent="0.5">
      <c r="A30" s="2">
        <v>2024</v>
      </c>
      <c r="B30" s="2" t="s">
        <v>18</v>
      </c>
      <c r="C30" s="2" t="s">
        <v>9</v>
      </c>
      <c r="D30" s="2" t="s">
        <v>53</v>
      </c>
      <c r="E30" s="2" t="s">
        <v>38</v>
      </c>
      <c r="F30" s="3">
        <v>282727.69459200004</v>
      </c>
      <c r="G30" s="3">
        <v>93</v>
      </c>
      <c r="H30" s="3">
        <v>852</v>
      </c>
      <c r="I30" s="3" t="s">
        <v>254</v>
      </c>
      <c r="J30" s="18">
        <v>1955</v>
      </c>
      <c r="K30" s="18">
        <v>1</v>
      </c>
    </row>
    <row r="31" spans="1:11" ht="25.8" x14ac:dyDescent="0.5">
      <c r="A31" s="2">
        <v>2024</v>
      </c>
      <c r="B31" s="2" t="s">
        <v>54</v>
      </c>
      <c r="C31" s="2" t="s">
        <v>9</v>
      </c>
      <c r="D31" s="2" t="s">
        <v>55</v>
      </c>
      <c r="E31" s="2" t="s">
        <v>20</v>
      </c>
      <c r="F31" s="3">
        <v>288646.12224</v>
      </c>
      <c r="G31" s="3">
        <v>312</v>
      </c>
      <c r="H31" s="3">
        <v>983</v>
      </c>
      <c r="I31" s="3" t="s">
        <v>255</v>
      </c>
      <c r="J31" s="18">
        <v>1310</v>
      </c>
      <c r="K31" s="18">
        <v>1</v>
      </c>
    </row>
    <row r="32" spans="1:11" ht="25.8" x14ac:dyDescent="0.5">
      <c r="A32" s="2">
        <v>2024</v>
      </c>
      <c r="B32" s="2" t="s">
        <v>29</v>
      </c>
      <c r="C32" s="2" t="s">
        <v>9</v>
      </c>
      <c r="D32" s="2" t="s">
        <v>56</v>
      </c>
      <c r="E32" s="2" t="s">
        <v>22</v>
      </c>
      <c r="F32" s="3">
        <v>294115.54636799998</v>
      </c>
      <c r="G32" s="3">
        <v>577</v>
      </c>
      <c r="H32" s="3">
        <v>175</v>
      </c>
      <c r="I32" s="3" t="s">
        <v>256</v>
      </c>
      <c r="J32" s="18">
        <v>416</v>
      </c>
      <c r="K32" s="18">
        <v>1</v>
      </c>
    </row>
    <row r="33" spans="1:11" ht="25.8" x14ac:dyDescent="0.5">
      <c r="A33" s="2">
        <v>2024</v>
      </c>
      <c r="B33" s="2" t="s">
        <v>29</v>
      </c>
      <c r="C33" s="2" t="s">
        <v>9</v>
      </c>
      <c r="D33" s="2" t="s">
        <v>57</v>
      </c>
      <c r="E33" s="2" t="s">
        <v>26</v>
      </c>
      <c r="F33" s="3">
        <v>299363.27500799997</v>
      </c>
      <c r="G33" s="3">
        <v>692</v>
      </c>
      <c r="H33" s="3">
        <v>300</v>
      </c>
      <c r="I33" s="3" t="s">
        <v>257</v>
      </c>
      <c r="J33" s="18">
        <v>637</v>
      </c>
      <c r="K33" s="18">
        <v>1</v>
      </c>
    </row>
    <row r="34" spans="1:11" ht="25.8" x14ac:dyDescent="0.5">
      <c r="A34" s="2">
        <v>2024</v>
      </c>
      <c r="B34" s="2" t="s">
        <v>27</v>
      </c>
      <c r="C34" s="2" t="s">
        <v>9</v>
      </c>
      <c r="D34" s="2" t="s">
        <v>58</v>
      </c>
      <c r="E34" s="2" t="s">
        <v>38</v>
      </c>
      <c r="F34" s="3">
        <v>312211.79136000003</v>
      </c>
      <c r="G34" s="3">
        <v>597</v>
      </c>
      <c r="H34" s="3">
        <v>287</v>
      </c>
      <c r="I34" s="3" t="s">
        <v>258</v>
      </c>
      <c r="J34" s="18">
        <v>529</v>
      </c>
      <c r="K34" s="18">
        <v>1</v>
      </c>
    </row>
    <row r="35" spans="1:11" ht="25.8" x14ac:dyDescent="0.5">
      <c r="A35" s="2">
        <v>2024</v>
      </c>
      <c r="B35" s="2" t="s">
        <v>59</v>
      </c>
      <c r="C35" s="2" t="s">
        <v>9</v>
      </c>
      <c r="D35" s="2" t="s">
        <v>60</v>
      </c>
      <c r="E35" s="2" t="s">
        <v>22</v>
      </c>
      <c r="F35" s="3">
        <v>313522.32038399996</v>
      </c>
      <c r="G35" s="3">
        <v>749</v>
      </c>
      <c r="H35" s="3">
        <v>648</v>
      </c>
      <c r="I35" s="3" t="s">
        <v>259</v>
      </c>
      <c r="J35" s="18">
        <v>1226</v>
      </c>
      <c r="K35" s="18">
        <v>1</v>
      </c>
    </row>
    <row r="36" spans="1:11" ht="25.8" x14ac:dyDescent="0.5">
      <c r="A36" s="2">
        <v>2024</v>
      </c>
      <c r="B36" s="2" t="s">
        <v>18</v>
      </c>
      <c r="C36" s="2" t="s">
        <v>9</v>
      </c>
      <c r="D36" s="2" t="s">
        <v>61</v>
      </c>
      <c r="E36" s="2" t="s">
        <v>17</v>
      </c>
      <c r="F36" s="3">
        <v>319777.50067199999</v>
      </c>
      <c r="G36" s="3">
        <v>287</v>
      </c>
      <c r="H36" s="3">
        <v>744</v>
      </c>
      <c r="I36" s="3" t="s">
        <v>260</v>
      </c>
      <c r="J36" s="18">
        <v>1225</v>
      </c>
      <c r="K36" s="18">
        <v>1</v>
      </c>
    </row>
    <row r="37" spans="1:11" ht="25.8" x14ac:dyDescent="0.5">
      <c r="A37" s="2">
        <v>2024</v>
      </c>
      <c r="B37" s="2" t="s">
        <v>12</v>
      </c>
      <c r="C37" s="2" t="s">
        <v>9</v>
      </c>
      <c r="D37" s="2" t="s">
        <v>62</v>
      </c>
      <c r="E37" s="2" t="s">
        <v>11</v>
      </c>
      <c r="F37" s="3">
        <v>329762.21644799999</v>
      </c>
      <c r="G37" s="3">
        <v>93</v>
      </c>
      <c r="H37" s="3">
        <v>852</v>
      </c>
      <c r="I37" s="3" t="s">
        <v>261</v>
      </c>
      <c r="J37" s="18">
        <v>1208</v>
      </c>
      <c r="K37" s="18">
        <v>1</v>
      </c>
    </row>
    <row r="38" spans="1:11" ht="25.8" x14ac:dyDescent="0.5">
      <c r="A38" s="2">
        <v>2024</v>
      </c>
      <c r="B38" s="2" t="s">
        <v>12</v>
      </c>
      <c r="C38" s="2" t="s">
        <v>9</v>
      </c>
      <c r="D38" s="2" t="s">
        <v>63</v>
      </c>
      <c r="E38" s="2" t="s">
        <v>26</v>
      </c>
      <c r="F38" s="3">
        <v>333881.82374399994</v>
      </c>
      <c r="G38" s="3">
        <v>577</v>
      </c>
      <c r="H38" s="3">
        <v>175</v>
      </c>
      <c r="I38" s="3" t="s">
        <v>250</v>
      </c>
      <c r="J38" s="18">
        <v>415</v>
      </c>
      <c r="K38" s="18">
        <v>1</v>
      </c>
    </row>
    <row r="39" spans="1:11" ht="25.8" x14ac:dyDescent="0.5">
      <c r="A39" s="2">
        <v>2024</v>
      </c>
      <c r="B39" s="2" t="s">
        <v>27</v>
      </c>
      <c r="C39" s="2" t="s">
        <v>9</v>
      </c>
      <c r="D39" s="2" t="s">
        <v>64</v>
      </c>
      <c r="E39" s="2" t="s">
        <v>11</v>
      </c>
      <c r="F39" s="3">
        <v>335927.59603200003</v>
      </c>
      <c r="G39" s="3">
        <v>784</v>
      </c>
      <c r="H39" s="3">
        <v>540</v>
      </c>
      <c r="I39" s="3" t="s">
        <v>251</v>
      </c>
      <c r="J39" s="18">
        <v>1124</v>
      </c>
      <c r="K39" s="18">
        <v>1</v>
      </c>
    </row>
    <row r="40" spans="1:11" ht="25.8" x14ac:dyDescent="0.5">
      <c r="A40" s="2">
        <v>2024</v>
      </c>
      <c r="B40" s="2" t="s">
        <v>18</v>
      </c>
      <c r="C40" s="2" t="s">
        <v>9</v>
      </c>
      <c r="D40" s="2" t="s">
        <v>65</v>
      </c>
      <c r="E40" s="2" t="s">
        <v>66</v>
      </c>
      <c r="F40" s="3">
        <v>344920.29465600004</v>
      </c>
      <c r="G40" s="3">
        <v>784</v>
      </c>
      <c r="H40" s="3">
        <v>540</v>
      </c>
      <c r="I40" s="3" t="s">
        <v>252</v>
      </c>
      <c r="J40" s="18">
        <v>829</v>
      </c>
      <c r="K40" s="18">
        <v>1</v>
      </c>
    </row>
    <row r="41" spans="1:11" ht="25.8" x14ac:dyDescent="0.5">
      <c r="A41" s="2">
        <v>2024</v>
      </c>
      <c r="B41" s="2" t="s">
        <v>12</v>
      </c>
      <c r="C41" s="2" t="s">
        <v>9</v>
      </c>
      <c r="D41" s="2" t="s">
        <v>67</v>
      </c>
      <c r="E41" s="2" t="s">
        <v>14</v>
      </c>
      <c r="F41" s="3">
        <v>345122.34623999998</v>
      </c>
      <c r="G41" s="3">
        <v>577</v>
      </c>
      <c r="H41" s="3">
        <v>175</v>
      </c>
      <c r="I41" s="3" t="s">
        <v>253</v>
      </c>
      <c r="J41" s="18">
        <v>215</v>
      </c>
      <c r="K41" s="18">
        <v>1</v>
      </c>
    </row>
    <row r="42" spans="1:11" ht="25.8" x14ac:dyDescent="0.5">
      <c r="A42" s="2">
        <v>2024</v>
      </c>
      <c r="B42" s="2" t="s">
        <v>29</v>
      </c>
      <c r="C42" s="2" t="s">
        <v>9</v>
      </c>
      <c r="D42" s="2" t="s">
        <v>68</v>
      </c>
      <c r="E42" s="2" t="s">
        <v>11</v>
      </c>
      <c r="F42" s="3">
        <v>345515.22432000004</v>
      </c>
      <c r="G42" s="3">
        <v>610</v>
      </c>
      <c r="H42" s="3">
        <v>970</v>
      </c>
      <c r="I42" s="3" t="s">
        <v>254</v>
      </c>
      <c r="J42" s="18">
        <v>1206</v>
      </c>
      <c r="K42" s="18">
        <v>1</v>
      </c>
    </row>
    <row r="43" spans="1:11" ht="25.8" x14ac:dyDescent="0.5">
      <c r="A43" s="2">
        <v>2024</v>
      </c>
      <c r="B43" s="2" t="s">
        <v>18</v>
      </c>
      <c r="C43" s="2" t="s">
        <v>9</v>
      </c>
      <c r="D43" s="2" t="s">
        <v>69</v>
      </c>
      <c r="E43" s="2" t="s">
        <v>22</v>
      </c>
      <c r="F43" s="3">
        <v>353740.40755200008</v>
      </c>
      <c r="G43" s="3">
        <v>413</v>
      </c>
      <c r="H43" s="3">
        <v>930</v>
      </c>
      <c r="I43" s="3" t="s">
        <v>255</v>
      </c>
      <c r="J43" s="18">
        <v>1116</v>
      </c>
      <c r="K43" s="18">
        <v>1</v>
      </c>
    </row>
    <row r="44" spans="1:11" ht="25.8" x14ac:dyDescent="0.5">
      <c r="A44" s="2">
        <v>2024</v>
      </c>
      <c r="B44" s="2" t="s">
        <v>54</v>
      </c>
      <c r="C44" s="2" t="s">
        <v>9</v>
      </c>
      <c r="D44" s="2" t="s">
        <v>70</v>
      </c>
      <c r="E44" s="2" t="s">
        <v>17</v>
      </c>
      <c r="F44" s="3">
        <v>369869.45587200002</v>
      </c>
      <c r="G44" s="3">
        <v>312</v>
      </c>
      <c r="H44" s="3">
        <v>983</v>
      </c>
      <c r="I44" s="3" t="s">
        <v>256</v>
      </c>
      <c r="J44" s="18">
        <v>1459</v>
      </c>
      <c r="K44" s="18">
        <v>1</v>
      </c>
    </row>
    <row r="45" spans="1:11" ht="25.8" x14ac:dyDescent="0.5">
      <c r="A45" s="2">
        <v>2024</v>
      </c>
      <c r="B45" s="2" t="s">
        <v>18</v>
      </c>
      <c r="C45" s="2" t="s">
        <v>9</v>
      </c>
      <c r="D45" s="2" t="s">
        <v>71</v>
      </c>
      <c r="E45" s="2" t="s">
        <v>35</v>
      </c>
      <c r="F45" s="3">
        <v>381630.54182400007</v>
      </c>
      <c r="G45" s="3">
        <v>287</v>
      </c>
      <c r="H45" s="3">
        <v>744</v>
      </c>
      <c r="I45" s="3" t="s">
        <v>257</v>
      </c>
      <c r="J45" s="18">
        <v>1591</v>
      </c>
      <c r="K45" s="18">
        <v>1</v>
      </c>
    </row>
    <row r="46" spans="1:11" ht="25.8" x14ac:dyDescent="0.5">
      <c r="A46" s="2">
        <v>2024</v>
      </c>
      <c r="B46" s="2" t="s">
        <v>27</v>
      </c>
      <c r="C46" s="2" t="s">
        <v>9</v>
      </c>
      <c r="D46" s="2" t="s">
        <v>72</v>
      </c>
      <c r="E46" s="2" t="s">
        <v>14</v>
      </c>
      <c r="F46" s="3">
        <v>384175.83052800002</v>
      </c>
      <c r="G46" s="3">
        <v>413</v>
      </c>
      <c r="H46" s="3">
        <v>930</v>
      </c>
      <c r="I46" s="3" t="s">
        <v>258</v>
      </c>
      <c r="J46" s="18">
        <v>1951</v>
      </c>
      <c r="K46" s="18">
        <v>1</v>
      </c>
    </row>
    <row r="47" spans="1:11" ht="25.8" x14ac:dyDescent="0.5">
      <c r="A47" s="2">
        <v>2024</v>
      </c>
      <c r="B47" s="2" t="s">
        <v>59</v>
      </c>
      <c r="C47" s="2" t="s">
        <v>9</v>
      </c>
      <c r="D47" s="2" t="s">
        <v>73</v>
      </c>
      <c r="E47" s="2" t="s">
        <v>14</v>
      </c>
      <c r="F47" s="3">
        <v>384175.83052800002</v>
      </c>
      <c r="G47" s="3">
        <v>413</v>
      </c>
      <c r="H47" s="3">
        <v>930</v>
      </c>
      <c r="I47" s="3" t="s">
        <v>259</v>
      </c>
      <c r="J47" s="18">
        <v>1959</v>
      </c>
      <c r="K47" s="18">
        <v>1</v>
      </c>
    </row>
    <row r="48" spans="1:11" ht="25.8" x14ac:dyDescent="0.5">
      <c r="A48" s="2">
        <v>2024</v>
      </c>
      <c r="B48" s="2" t="s">
        <v>15</v>
      </c>
      <c r="C48" s="2" t="s">
        <v>9</v>
      </c>
      <c r="D48" s="2" t="s">
        <v>74</v>
      </c>
      <c r="E48" s="2" t="s">
        <v>26</v>
      </c>
      <c r="F48" s="3">
        <v>400913.83987199998</v>
      </c>
      <c r="G48" s="3">
        <v>872</v>
      </c>
      <c r="H48" s="3">
        <v>249</v>
      </c>
      <c r="I48" s="3" t="s">
        <v>260</v>
      </c>
      <c r="J48" s="18">
        <v>323</v>
      </c>
      <c r="K48" s="18">
        <v>1</v>
      </c>
    </row>
    <row r="49" spans="1:11" ht="25.8" x14ac:dyDescent="0.5">
      <c r="A49" s="2">
        <v>2024</v>
      </c>
      <c r="B49" s="2" t="s">
        <v>59</v>
      </c>
      <c r="C49" s="2" t="s">
        <v>9</v>
      </c>
      <c r="D49" s="2" t="s">
        <v>75</v>
      </c>
      <c r="E49" s="2" t="s">
        <v>11</v>
      </c>
      <c r="F49" s="3">
        <v>427036.02278400009</v>
      </c>
      <c r="G49" s="3">
        <v>413</v>
      </c>
      <c r="H49" s="3">
        <v>930</v>
      </c>
      <c r="I49" s="3" t="s">
        <v>261</v>
      </c>
      <c r="J49" s="18">
        <v>1873</v>
      </c>
      <c r="K49" s="18">
        <v>1</v>
      </c>
    </row>
    <row r="50" spans="1:11" ht="25.8" x14ac:dyDescent="0.5">
      <c r="A50" s="2">
        <v>2024</v>
      </c>
      <c r="B50" s="2" t="s">
        <v>50</v>
      </c>
      <c r="C50" s="2" t="s">
        <v>9</v>
      </c>
      <c r="D50" s="2" t="s">
        <v>76</v>
      </c>
      <c r="E50" s="2" t="s">
        <v>35</v>
      </c>
      <c r="F50" s="3">
        <v>430367.06764799997</v>
      </c>
      <c r="G50" s="3">
        <v>784</v>
      </c>
      <c r="H50" s="3">
        <v>540</v>
      </c>
      <c r="I50" s="3" t="s">
        <v>250</v>
      </c>
      <c r="J50" s="18">
        <v>1291</v>
      </c>
      <c r="K50" s="18">
        <v>1</v>
      </c>
    </row>
    <row r="51" spans="1:11" ht="25.8" x14ac:dyDescent="0.5">
      <c r="A51" s="2">
        <v>2024</v>
      </c>
      <c r="B51" s="2" t="s">
        <v>12</v>
      </c>
      <c r="C51" s="2" t="s">
        <v>9</v>
      </c>
      <c r="D51" s="2" t="s">
        <v>77</v>
      </c>
      <c r="E51" s="2" t="s">
        <v>66</v>
      </c>
      <c r="F51" s="3">
        <v>437610.05567999993</v>
      </c>
      <c r="G51" s="3">
        <v>413</v>
      </c>
      <c r="H51" s="3">
        <v>930</v>
      </c>
      <c r="I51" s="3" t="s">
        <v>251</v>
      </c>
      <c r="J51" s="18">
        <v>1695</v>
      </c>
      <c r="K51" s="18">
        <v>1</v>
      </c>
    </row>
    <row r="52" spans="1:11" ht="25.8" x14ac:dyDescent="0.5">
      <c r="A52" s="2">
        <v>2024</v>
      </c>
      <c r="B52" s="2" t="s">
        <v>18</v>
      </c>
      <c r="C52" s="2" t="s">
        <v>9</v>
      </c>
      <c r="D52" s="2" t="s">
        <v>78</v>
      </c>
      <c r="E52" s="2" t="s">
        <v>20</v>
      </c>
      <c r="F52" s="3">
        <v>441520.59571199998</v>
      </c>
      <c r="G52" s="3">
        <v>795</v>
      </c>
      <c r="H52" s="3">
        <v>469</v>
      </c>
      <c r="I52" s="3" t="s">
        <v>252</v>
      </c>
      <c r="J52" s="18">
        <v>819</v>
      </c>
      <c r="K52" s="18">
        <v>1</v>
      </c>
    </row>
    <row r="53" spans="1:11" ht="25.8" x14ac:dyDescent="0.5">
      <c r="A53" s="2">
        <v>2024</v>
      </c>
      <c r="B53" s="2" t="s">
        <v>18</v>
      </c>
      <c r="C53" s="2" t="s">
        <v>9</v>
      </c>
      <c r="D53" s="2" t="s">
        <v>79</v>
      </c>
      <c r="E53" s="2" t="s">
        <v>22</v>
      </c>
      <c r="F53" s="3">
        <v>447134.54284799995</v>
      </c>
      <c r="G53" s="3">
        <v>597</v>
      </c>
      <c r="H53" s="3">
        <v>287</v>
      </c>
      <c r="I53" s="3" t="s">
        <v>253</v>
      </c>
      <c r="J53" s="18">
        <v>368</v>
      </c>
      <c r="K53" s="18">
        <v>1</v>
      </c>
    </row>
    <row r="54" spans="1:11" ht="25.8" x14ac:dyDescent="0.5">
      <c r="A54" s="2">
        <v>2024</v>
      </c>
      <c r="B54" s="2" t="s">
        <v>12</v>
      </c>
      <c r="C54" s="2" t="s">
        <v>9</v>
      </c>
      <c r="D54" s="2" t="s">
        <v>80</v>
      </c>
      <c r="E54" s="2" t="s">
        <v>22</v>
      </c>
      <c r="F54" s="3">
        <v>459099.08352000004</v>
      </c>
      <c r="G54" s="3">
        <v>968</v>
      </c>
      <c r="H54" s="3">
        <v>330</v>
      </c>
      <c r="I54" s="3" t="s">
        <v>254</v>
      </c>
      <c r="J54" s="18">
        <v>750</v>
      </c>
      <c r="K54" s="18">
        <v>1</v>
      </c>
    </row>
    <row r="55" spans="1:11" ht="25.8" x14ac:dyDescent="0.5">
      <c r="A55" s="2">
        <v>2024</v>
      </c>
      <c r="B55" s="2" t="s">
        <v>18</v>
      </c>
      <c r="C55" s="2" t="s">
        <v>9</v>
      </c>
      <c r="D55" s="2" t="s">
        <v>81</v>
      </c>
      <c r="E55" s="2" t="s">
        <v>11</v>
      </c>
      <c r="F55" s="3">
        <v>460690.23974400002</v>
      </c>
      <c r="G55" s="3">
        <v>930</v>
      </c>
      <c r="H55" s="3">
        <v>563</v>
      </c>
      <c r="I55" s="3" t="s">
        <v>255</v>
      </c>
      <c r="J55" s="18">
        <v>909</v>
      </c>
      <c r="K55" s="18">
        <v>1</v>
      </c>
    </row>
    <row r="56" spans="1:11" ht="25.8" x14ac:dyDescent="0.5">
      <c r="A56" s="2">
        <v>2024</v>
      </c>
      <c r="B56" s="2" t="s">
        <v>8</v>
      </c>
      <c r="C56" s="2" t="s">
        <v>9</v>
      </c>
      <c r="D56" s="2" t="s">
        <v>82</v>
      </c>
      <c r="E56" s="2" t="s">
        <v>20</v>
      </c>
      <c r="F56" s="3">
        <v>465025.92998400005</v>
      </c>
      <c r="G56" s="3">
        <v>692</v>
      </c>
      <c r="H56" s="3">
        <v>300</v>
      </c>
      <c r="I56" s="3" t="s">
        <v>256</v>
      </c>
      <c r="J56" s="18">
        <v>370</v>
      </c>
      <c r="K56" s="18">
        <v>1</v>
      </c>
    </row>
    <row r="57" spans="1:11" ht="25.8" x14ac:dyDescent="0.5">
      <c r="A57" s="2">
        <v>2024</v>
      </c>
      <c r="B57" s="2" t="s">
        <v>8</v>
      </c>
      <c r="C57" s="2" t="s">
        <v>9</v>
      </c>
      <c r="D57" s="2" t="s">
        <v>83</v>
      </c>
      <c r="E57" s="2" t="s">
        <v>66</v>
      </c>
      <c r="F57" s="3">
        <v>465195.70944000001</v>
      </c>
      <c r="G57" s="3">
        <v>872</v>
      </c>
      <c r="H57" s="3">
        <v>249</v>
      </c>
      <c r="I57" s="3" t="s">
        <v>257</v>
      </c>
      <c r="J57" s="18">
        <v>326</v>
      </c>
      <c r="K57" s="18">
        <v>1</v>
      </c>
    </row>
    <row r="58" spans="1:11" ht="25.8" x14ac:dyDescent="0.5">
      <c r="A58" s="2">
        <v>2024</v>
      </c>
      <c r="B58" s="2" t="s">
        <v>50</v>
      </c>
      <c r="C58" s="2" t="s">
        <v>9</v>
      </c>
      <c r="D58" s="2" t="s">
        <v>84</v>
      </c>
      <c r="E58" s="2" t="s">
        <v>22</v>
      </c>
      <c r="F58" s="3">
        <v>486983.60524799995</v>
      </c>
      <c r="G58" s="3">
        <v>839</v>
      </c>
      <c r="H58" s="3">
        <v>983</v>
      </c>
      <c r="I58" s="3" t="s">
        <v>258</v>
      </c>
      <c r="J58" s="18">
        <v>2057</v>
      </c>
      <c r="K58" s="18">
        <v>1</v>
      </c>
    </row>
    <row r="59" spans="1:11" ht="25.8" x14ac:dyDescent="0.5">
      <c r="A59" s="2">
        <v>2024</v>
      </c>
      <c r="B59" s="2" t="s">
        <v>54</v>
      </c>
      <c r="C59" s="2" t="s">
        <v>9</v>
      </c>
      <c r="D59" s="2" t="s">
        <v>85</v>
      </c>
      <c r="E59" s="2" t="s">
        <v>20</v>
      </c>
      <c r="F59" s="3">
        <v>488832.93849600002</v>
      </c>
      <c r="G59" s="3">
        <v>287</v>
      </c>
      <c r="H59" s="3">
        <v>744</v>
      </c>
      <c r="I59" s="3" t="s">
        <v>259</v>
      </c>
      <c r="J59" s="18">
        <v>1532</v>
      </c>
      <c r="K59" s="18">
        <v>1</v>
      </c>
    </row>
    <row r="60" spans="1:11" ht="25.8" x14ac:dyDescent="0.5">
      <c r="A60" s="2">
        <v>2024</v>
      </c>
      <c r="B60" s="2" t="s">
        <v>12</v>
      </c>
      <c r="C60" s="2" t="s">
        <v>9</v>
      </c>
      <c r="D60" s="2" t="s">
        <v>86</v>
      </c>
      <c r="E60" s="2" t="s">
        <v>38</v>
      </c>
      <c r="F60" s="3">
        <v>495771.446016</v>
      </c>
      <c r="G60" s="3">
        <v>930</v>
      </c>
      <c r="H60" s="3">
        <v>563</v>
      </c>
      <c r="I60" s="3" t="s">
        <v>260</v>
      </c>
      <c r="J60" s="18">
        <v>796</v>
      </c>
      <c r="K60" s="18">
        <v>1</v>
      </c>
    </row>
    <row r="61" spans="1:11" ht="25.8" x14ac:dyDescent="0.5">
      <c r="A61" s="2">
        <v>2024</v>
      </c>
      <c r="B61" s="2" t="s">
        <v>23</v>
      </c>
      <c r="C61" s="2" t="s">
        <v>9</v>
      </c>
      <c r="D61" s="2" t="s">
        <v>87</v>
      </c>
      <c r="E61" s="2" t="s">
        <v>26</v>
      </c>
      <c r="F61" s="3">
        <v>496606.31193600001</v>
      </c>
      <c r="G61" s="3">
        <v>210</v>
      </c>
      <c r="H61" s="3">
        <v>177</v>
      </c>
      <c r="I61" s="3" t="s">
        <v>261</v>
      </c>
      <c r="J61" s="18">
        <v>252</v>
      </c>
      <c r="K61" s="18">
        <v>1</v>
      </c>
    </row>
    <row r="62" spans="1:11" ht="25.8" x14ac:dyDescent="0.5">
      <c r="A62" s="2">
        <v>2024</v>
      </c>
      <c r="B62" s="2" t="s">
        <v>50</v>
      </c>
      <c r="C62" s="2" t="s">
        <v>9</v>
      </c>
      <c r="D62" s="2" t="s">
        <v>88</v>
      </c>
      <c r="E62" s="2" t="s">
        <v>11</v>
      </c>
      <c r="F62" s="3">
        <v>496606.31193600001</v>
      </c>
      <c r="G62" s="3">
        <v>577</v>
      </c>
      <c r="H62" s="3">
        <v>175</v>
      </c>
      <c r="I62" s="3" t="s">
        <v>250</v>
      </c>
      <c r="J62" s="18">
        <v>405</v>
      </c>
      <c r="K62" s="18">
        <v>1</v>
      </c>
    </row>
    <row r="63" spans="1:11" ht="25.8" x14ac:dyDescent="0.5">
      <c r="A63" s="2">
        <v>2024</v>
      </c>
      <c r="B63" s="2" t="s">
        <v>15</v>
      </c>
      <c r="C63" s="2" t="s">
        <v>9</v>
      </c>
      <c r="D63" s="2" t="s">
        <v>89</v>
      </c>
      <c r="E63" s="2" t="s">
        <v>20</v>
      </c>
      <c r="F63" s="3">
        <v>508120.44595199998</v>
      </c>
      <c r="G63" s="3">
        <v>839</v>
      </c>
      <c r="H63" s="3">
        <v>334</v>
      </c>
      <c r="I63" s="3" t="s">
        <v>251</v>
      </c>
      <c r="J63" s="18">
        <v>435</v>
      </c>
      <c r="K63" s="18">
        <v>1</v>
      </c>
    </row>
    <row r="64" spans="1:11" ht="25.8" x14ac:dyDescent="0.5">
      <c r="A64" s="2">
        <v>2024</v>
      </c>
      <c r="B64" s="2" t="s">
        <v>29</v>
      </c>
      <c r="C64" s="2" t="s">
        <v>9</v>
      </c>
      <c r="D64" s="2" t="s">
        <v>90</v>
      </c>
      <c r="E64" s="2" t="s">
        <v>35</v>
      </c>
      <c r="F64" s="3">
        <v>523110.14783999999</v>
      </c>
      <c r="G64" s="3">
        <v>403</v>
      </c>
      <c r="H64" s="3">
        <v>953</v>
      </c>
      <c r="I64" s="3" t="s">
        <v>252</v>
      </c>
      <c r="J64" s="18">
        <v>2367</v>
      </c>
      <c r="K64" s="18">
        <v>1</v>
      </c>
    </row>
    <row r="65" spans="1:11" ht="25.8" x14ac:dyDescent="0.5">
      <c r="A65" s="2">
        <v>2024</v>
      </c>
      <c r="B65" s="2" t="s">
        <v>29</v>
      </c>
      <c r="C65" s="2" t="s">
        <v>9</v>
      </c>
      <c r="D65" s="2" t="s">
        <v>91</v>
      </c>
      <c r="E65" s="2" t="s">
        <v>22</v>
      </c>
      <c r="F65" s="3">
        <v>528318.58867199998</v>
      </c>
      <c r="G65" s="3">
        <v>968</v>
      </c>
      <c r="H65" s="3">
        <v>330</v>
      </c>
      <c r="I65" s="3" t="s">
        <v>253</v>
      </c>
      <c r="J65" s="18">
        <v>595</v>
      </c>
      <c r="K65" s="18">
        <v>1</v>
      </c>
    </row>
    <row r="66" spans="1:11" ht="25.8" x14ac:dyDescent="0.5">
      <c r="A66" s="2">
        <v>2024</v>
      </c>
      <c r="B66" s="2" t="s">
        <v>12</v>
      </c>
      <c r="C66" s="2" t="s">
        <v>9</v>
      </c>
      <c r="D66" s="2" t="s">
        <v>92</v>
      </c>
      <c r="E66" s="2" t="s">
        <v>26</v>
      </c>
      <c r="F66" s="3">
        <v>538040.91801599995</v>
      </c>
      <c r="G66" s="3">
        <v>287</v>
      </c>
      <c r="H66" s="3">
        <v>744</v>
      </c>
      <c r="I66" s="3" t="s">
        <v>254</v>
      </c>
      <c r="J66" s="18">
        <v>937</v>
      </c>
      <c r="K66" s="18">
        <v>1</v>
      </c>
    </row>
    <row r="67" spans="1:11" ht="25.8" x14ac:dyDescent="0.5">
      <c r="A67" s="2">
        <v>2024</v>
      </c>
      <c r="B67" s="2" t="s">
        <v>12</v>
      </c>
      <c r="C67" s="2" t="s">
        <v>9</v>
      </c>
      <c r="D67" s="2" t="s">
        <v>93</v>
      </c>
      <c r="E67" s="2" t="s">
        <v>22</v>
      </c>
      <c r="F67" s="3">
        <v>548578.46937599999</v>
      </c>
      <c r="G67" s="3">
        <v>210</v>
      </c>
      <c r="H67" s="3">
        <v>177</v>
      </c>
      <c r="I67" s="3" t="s">
        <v>255</v>
      </c>
      <c r="J67" s="18">
        <v>325</v>
      </c>
      <c r="K67" s="18">
        <v>1</v>
      </c>
    </row>
    <row r="68" spans="1:11" ht="25.8" x14ac:dyDescent="0.5">
      <c r="A68" s="2">
        <v>2024</v>
      </c>
      <c r="B68" s="2" t="s">
        <v>8</v>
      </c>
      <c r="C68" s="2" t="s">
        <v>9</v>
      </c>
      <c r="D68" s="2" t="s">
        <v>94</v>
      </c>
      <c r="E68" s="2" t="s">
        <v>66</v>
      </c>
      <c r="F68" s="3">
        <v>550469.89670399996</v>
      </c>
      <c r="G68" s="3">
        <v>839</v>
      </c>
      <c r="H68" s="3">
        <v>983</v>
      </c>
      <c r="I68" s="3" t="s">
        <v>256</v>
      </c>
      <c r="J68" s="18">
        <v>2203</v>
      </c>
      <c r="K68" s="18">
        <v>1</v>
      </c>
    </row>
    <row r="69" spans="1:11" ht="25.8" x14ac:dyDescent="0.5">
      <c r="A69" s="2">
        <v>2024</v>
      </c>
      <c r="B69" s="2" t="s">
        <v>50</v>
      </c>
      <c r="C69" s="2" t="s">
        <v>9</v>
      </c>
      <c r="D69" s="2" t="s">
        <v>95</v>
      </c>
      <c r="E69" s="2" t="s">
        <v>20</v>
      </c>
      <c r="F69" s="3">
        <v>556027.71840000001</v>
      </c>
      <c r="G69" s="3">
        <v>839</v>
      </c>
      <c r="H69" s="3">
        <v>334</v>
      </c>
      <c r="I69" s="3" t="s">
        <v>257</v>
      </c>
      <c r="J69" s="18">
        <v>676</v>
      </c>
      <c r="K69" s="18">
        <v>1</v>
      </c>
    </row>
    <row r="70" spans="1:11" ht="25.8" x14ac:dyDescent="0.5">
      <c r="A70" s="2">
        <v>2024</v>
      </c>
      <c r="B70" s="2" t="s">
        <v>27</v>
      </c>
      <c r="C70" s="2" t="s">
        <v>9</v>
      </c>
      <c r="D70" s="2" t="s">
        <v>96</v>
      </c>
      <c r="E70" s="2" t="s">
        <v>11</v>
      </c>
      <c r="F70" s="3">
        <v>572911.65388800006</v>
      </c>
      <c r="G70" s="3">
        <v>403</v>
      </c>
      <c r="H70" s="3">
        <v>953</v>
      </c>
      <c r="I70" s="3" t="s">
        <v>258</v>
      </c>
      <c r="J70" s="18">
        <v>2093</v>
      </c>
      <c r="K70" s="18">
        <v>1</v>
      </c>
    </row>
    <row r="71" spans="1:11" ht="25.8" x14ac:dyDescent="0.5">
      <c r="A71" s="2">
        <v>2024</v>
      </c>
      <c r="B71" s="2" t="s">
        <v>29</v>
      </c>
      <c r="C71" s="2" t="s">
        <v>9</v>
      </c>
      <c r="D71" s="2" t="s">
        <v>97</v>
      </c>
      <c r="E71" s="2" t="s">
        <v>38</v>
      </c>
      <c r="F71" s="3">
        <v>577713.18527999998</v>
      </c>
      <c r="G71" s="3">
        <v>968</v>
      </c>
      <c r="H71" s="3">
        <v>330</v>
      </c>
      <c r="I71" s="3" t="s">
        <v>259</v>
      </c>
      <c r="J71" s="18">
        <v>628</v>
      </c>
      <c r="K71" s="18">
        <v>1</v>
      </c>
    </row>
    <row r="72" spans="1:11" ht="25.8" x14ac:dyDescent="0.5">
      <c r="A72" s="2">
        <v>2024</v>
      </c>
      <c r="B72" s="2" t="s">
        <v>18</v>
      </c>
      <c r="C72" s="2" t="s">
        <v>9</v>
      </c>
      <c r="D72" s="2" t="s">
        <v>98</v>
      </c>
      <c r="E72" s="2" t="s">
        <v>66</v>
      </c>
      <c r="F72" s="3">
        <v>579979.24992000009</v>
      </c>
      <c r="G72" s="3">
        <v>610</v>
      </c>
      <c r="H72" s="3">
        <v>970</v>
      </c>
      <c r="I72" s="3" t="s">
        <v>260</v>
      </c>
      <c r="J72" s="18">
        <v>1596</v>
      </c>
      <c r="K72" s="18">
        <v>1</v>
      </c>
    </row>
    <row r="73" spans="1:11" ht="25.8" x14ac:dyDescent="0.5">
      <c r="A73" s="2">
        <v>2024</v>
      </c>
      <c r="B73" s="2" t="s">
        <v>15</v>
      </c>
      <c r="C73" s="2" t="s">
        <v>9</v>
      </c>
      <c r="D73" s="2" t="s">
        <v>99</v>
      </c>
      <c r="E73" s="2" t="s">
        <v>22</v>
      </c>
      <c r="F73" s="3">
        <v>584211.10809600004</v>
      </c>
      <c r="G73" s="3">
        <v>312</v>
      </c>
      <c r="H73" s="3">
        <v>983</v>
      </c>
      <c r="I73" s="3" t="s">
        <v>261</v>
      </c>
      <c r="J73" s="18">
        <v>1629</v>
      </c>
      <c r="K73" s="18">
        <v>1</v>
      </c>
    </row>
    <row r="74" spans="1:11" ht="25.8" x14ac:dyDescent="0.5">
      <c r="A74" s="2">
        <v>2024</v>
      </c>
      <c r="B74" s="2" t="s">
        <v>29</v>
      </c>
      <c r="C74" s="2" t="s">
        <v>9</v>
      </c>
      <c r="D74" s="2" t="s">
        <v>100</v>
      </c>
      <c r="E74" s="2" t="s">
        <v>38</v>
      </c>
      <c r="F74" s="3">
        <v>584991.251712</v>
      </c>
      <c r="G74" s="3">
        <v>577</v>
      </c>
      <c r="H74" s="3">
        <v>175</v>
      </c>
      <c r="I74" s="3" t="s">
        <v>250</v>
      </c>
      <c r="J74" s="18">
        <v>229</v>
      </c>
      <c r="K74" s="18">
        <v>1</v>
      </c>
    </row>
    <row r="75" spans="1:11" ht="25.8" x14ac:dyDescent="0.5">
      <c r="A75" s="2">
        <v>2024</v>
      </c>
      <c r="B75" s="2" t="s">
        <v>27</v>
      </c>
      <c r="C75" s="2" t="s">
        <v>9</v>
      </c>
      <c r="D75" s="2" t="s">
        <v>101</v>
      </c>
      <c r="E75" s="2" t="s">
        <v>26</v>
      </c>
      <c r="F75" s="3">
        <v>585434.64268799999</v>
      </c>
      <c r="G75" s="3">
        <v>610</v>
      </c>
      <c r="H75" s="3">
        <v>970</v>
      </c>
      <c r="I75" s="3" t="s">
        <v>251</v>
      </c>
      <c r="J75" s="18">
        <v>1517</v>
      </c>
      <c r="K75" s="18">
        <v>1</v>
      </c>
    </row>
    <row r="76" spans="1:11" ht="25.8" x14ac:dyDescent="0.5">
      <c r="A76" s="2">
        <v>2024</v>
      </c>
      <c r="B76" s="2" t="s">
        <v>18</v>
      </c>
      <c r="C76" s="2" t="s">
        <v>9</v>
      </c>
      <c r="D76" s="2" t="s">
        <v>102</v>
      </c>
      <c r="E76" s="2" t="s">
        <v>38</v>
      </c>
      <c r="F76" s="3">
        <v>590038.33190400002</v>
      </c>
      <c r="G76" s="3">
        <v>413</v>
      </c>
      <c r="H76" s="3">
        <v>930</v>
      </c>
      <c r="I76" s="3" t="s">
        <v>252</v>
      </c>
      <c r="J76" s="18">
        <v>1955</v>
      </c>
      <c r="K76" s="18">
        <v>1</v>
      </c>
    </row>
    <row r="77" spans="1:11" ht="25.8" x14ac:dyDescent="0.5">
      <c r="A77" s="2">
        <v>2024</v>
      </c>
      <c r="B77" s="2" t="s">
        <v>50</v>
      </c>
      <c r="C77" s="2" t="s">
        <v>9</v>
      </c>
      <c r="D77" s="2" t="s">
        <v>103</v>
      </c>
      <c r="E77" s="2" t="s">
        <v>35</v>
      </c>
      <c r="F77" s="3">
        <v>592566.78297599999</v>
      </c>
      <c r="G77" s="3">
        <v>692</v>
      </c>
      <c r="H77" s="3">
        <v>300</v>
      </c>
      <c r="I77" s="3" t="s">
        <v>253</v>
      </c>
      <c r="J77" s="18">
        <v>336</v>
      </c>
      <c r="K77" s="18">
        <v>1</v>
      </c>
    </row>
    <row r="78" spans="1:11" ht="25.8" x14ac:dyDescent="0.5">
      <c r="A78" s="2">
        <v>2024</v>
      </c>
      <c r="B78" s="2" t="s">
        <v>18</v>
      </c>
      <c r="C78" s="2" t="s">
        <v>9</v>
      </c>
      <c r="D78" s="2" t="s">
        <v>104</v>
      </c>
      <c r="E78" s="2" t="s">
        <v>35</v>
      </c>
      <c r="F78" s="3">
        <v>597293.94816000003</v>
      </c>
      <c r="G78" s="3">
        <v>692</v>
      </c>
      <c r="H78" s="3">
        <v>300</v>
      </c>
      <c r="I78" s="3" t="s">
        <v>254</v>
      </c>
      <c r="J78" s="18">
        <v>634</v>
      </c>
      <c r="K78" s="18">
        <v>1</v>
      </c>
    </row>
    <row r="79" spans="1:11" ht="25.8" x14ac:dyDescent="0.5">
      <c r="A79" s="2">
        <v>2024</v>
      </c>
      <c r="B79" s="2" t="s">
        <v>18</v>
      </c>
      <c r="C79" s="2" t="s">
        <v>9</v>
      </c>
      <c r="D79" s="2" t="s">
        <v>105</v>
      </c>
      <c r="E79" s="2" t="s">
        <v>26</v>
      </c>
      <c r="F79" s="3">
        <v>601551.06278400007</v>
      </c>
      <c r="G79" s="3">
        <v>872</v>
      </c>
      <c r="H79" s="3">
        <v>249</v>
      </c>
      <c r="I79" s="3" t="s">
        <v>255</v>
      </c>
      <c r="J79" s="18">
        <v>309</v>
      </c>
      <c r="K79" s="18">
        <v>1</v>
      </c>
    </row>
    <row r="80" spans="1:11" ht="25.8" x14ac:dyDescent="0.5">
      <c r="A80" s="2">
        <v>2024</v>
      </c>
      <c r="B80" s="2" t="s">
        <v>15</v>
      </c>
      <c r="C80" s="2" t="s">
        <v>9</v>
      </c>
      <c r="D80" s="2" t="s">
        <v>106</v>
      </c>
      <c r="E80" s="2" t="s">
        <v>22</v>
      </c>
      <c r="F80" s="3">
        <v>604409.25081599993</v>
      </c>
      <c r="G80" s="3">
        <v>568</v>
      </c>
      <c r="H80" s="3">
        <v>505</v>
      </c>
      <c r="I80" s="3" t="s">
        <v>256</v>
      </c>
      <c r="J80" s="18">
        <v>1147</v>
      </c>
      <c r="K80" s="18">
        <v>1</v>
      </c>
    </row>
    <row r="81" spans="1:11" ht="25.8" x14ac:dyDescent="0.5">
      <c r="A81" s="2">
        <v>2024</v>
      </c>
      <c r="B81" s="2" t="s">
        <v>59</v>
      </c>
      <c r="C81" s="2" t="s">
        <v>9</v>
      </c>
      <c r="D81" s="2" t="s">
        <v>107</v>
      </c>
      <c r="E81" s="2" t="s">
        <v>20</v>
      </c>
      <c r="F81" s="3">
        <v>604409.25081599993</v>
      </c>
      <c r="G81" s="3">
        <v>692</v>
      </c>
      <c r="H81" s="3">
        <v>300</v>
      </c>
      <c r="I81" s="3" t="s">
        <v>257</v>
      </c>
      <c r="J81" s="18">
        <v>601</v>
      </c>
      <c r="K81" s="18">
        <v>1</v>
      </c>
    </row>
    <row r="82" spans="1:11" ht="25.8" x14ac:dyDescent="0.5">
      <c r="A82" s="2">
        <v>2024</v>
      </c>
      <c r="B82" s="2" t="s">
        <v>15</v>
      </c>
      <c r="C82" s="2" t="s">
        <v>9</v>
      </c>
      <c r="D82" s="2" t="s">
        <v>108</v>
      </c>
      <c r="E82" s="2" t="s">
        <v>66</v>
      </c>
      <c r="F82" s="3">
        <v>605954.1035519999</v>
      </c>
      <c r="G82" s="3">
        <v>930</v>
      </c>
      <c r="H82" s="3">
        <v>563</v>
      </c>
      <c r="I82" s="3" t="s">
        <v>258</v>
      </c>
      <c r="J82" s="18">
        <v>1003</v>
      </c>
      <c r="K82" s="18">
        <v>1</v>
      </c>
    </row>
    <row r="83" spans="1:11" ht="25.8" x14ac:dyDescent="0.5">
      <c r="A83" s="2">
        <v>2024</v>
      </c>
      <c r="B83" s="2" t="s">
        <v>29</v>
      </c>
      <c r="C83" s="2" t="s">
        <v>9</v>
      </c>
      <c r="D83" s="2" t="s">
        <v>109</v>
      </c>
      <c r="E83" s="2" t="s">
        <v>20</v>
      </c>
      <c r="F83" s="3">
        <v>611409.49632000003</v>
      </c>
      <c r="G83" s="3">
        <v>210</v>
      </c>
      <c r="H83" s="3">
        <v>177</v>
      </c>
      <c r="I83" s="3" t="s">
        <v>259</v>
      </c>
      <c r="J83" s="18">
        <v>278</v>
      </c>
      <c r="K83" s="18">
        <v>1</v>
      </c>
    </row>
    <row r="84" spans="1:11" ht="25.8" x14ac:dyDescent="0.5">
      <c r="A84" s="2">
        <v>2024</v>
      </c>
      <c r="B84" s="2" t="s">
        <v>12</v>
      </c>
      <c r="C84" s="2" t="s">
        <v>9</v>
      </c>
      <c r="D84" s="2" t="s">
        <v>110</v>
      </c>
      <c r="E84" s="2" t="s">
        <v>20</v>
      </c>
      <c r="F84" s="3">
        <v>615400.01510399999</v>
      </c>
      <c r="G84" s="3">
        <v>577</v>
      </c>
      <c r="H84" s="3">
        <v>175</v>
      </c>
      <c r="I84" s="3" t="s">
        <v>260</v>
      </c>
      <c r="J84" s="18">
        <v>233</v>
      </c>
      <c r="K84" s="18">
        <v>1</v>
      </c>
    </row>
    <row r="85" spans="1:11" ht="25.8" x14ac:dyDescent="0.5">
      <c r="A85" s="2">
        <v>2024</v>
      </c>
      <c r="B85" s="2" t="s">
        <v>15</v>
      </c>
      <c r="C85" s="2" t="s">
        <v>9</v>
      </c>
      <c r="D85" s="2" t="s">
        <v>111</v>
      </c>
      <c r="E85" s="2" t="s">
        <v>11</v>
      </c>
      <c r="F85" s="3">
        <v>640649.44742400013</v>
      </c>
      <c r="G85" s="3">
        <v>210</v>
      </c>
      <c r="H85" s="3">
        <v>177</v>
      </c>
      <c r="I85" s="3" t="s">
        <v>261</v>
      </c>
      <c r="J85" s="18">
        <v>202</v>
      </c>
      <c r="K85" s="18">
        <v>1</v>
      </c>
    </row>
    <row r="86" spans="1:11" ht="25.8" x14ac:dyDescent="0.5">
      <c r="A86" s="2">
        <v>2024</v>
      </c>
      <c r="B86" s="2" t="s">
        <v>15</v>
      </c>
      <c r="C86" s="2" t="s">
        <v>9</v>
      </c>
      <c r="D86" s="2" t="s">
        <v>112</v>
      </c>
      <c r="E86" s="2" t="s">
        <v>20</v>
      </c>
      <c r="F86" s="3">
        <v>643429.05983999989</v>
      </c>
      <c r="G86" s="3">
        <v>930</v>
      </c>
      <c r="H86" s="3">
        <v>563</v>
      </c>
      <c r="I86" s="3" t="s">
        <v>250</v>
      </c>
      <c r="J86" s="18">
        <v>1379</v>
      </c>
      <c r="K86" s="18">
        <v>1</v>
      </c>
    </row>
    <row r="87" spans="1:11" ht="25.8" x14ac:dyDescent="0.5">
      <c r="A87" s="2">
        <v>2024</v>
      </c>
      <c r="B87" s="2" t="s">
        <v>12</v>
      </c>
      <c r="C87" s="2" t="s">
        <v>9</v>
      </c>
      <c r="D87" s="2" t="s">
        <v>113</v>
      </c>
      <c r="E87" s="2" t="s">
        <v>20</v>
      </c>
      <c r="F87" s="3">
        <v>643582.00166399998</v>
      </c>
      <c r="G87" s="3">
        <v>692</v>
      </c>
      <c r="H87" s="3">
        <v>300</v>
      </c>
      <c r="I87" s="3" t="s">
        <v>251</v>
      </c>
      <c r="J87" s="18">
        <v>690</v>
      </c>
      <c r="K87" s="18">
        <v>1</v>
      </c>
    </row>
    <row r="88" spans="1:11" ht="25.8" x14ac:dyDescent="0.5">
      <c r="A88" s="2">
        <v>2024</v>
      </c>
      <c r="B88" s="2" t="s">
        <v>8</v>
      </c>
      <c r="C88" s="2" t="s">
        <v>9</v>
      </c>
      <c r="D88" s="2" t="s">
        <v>114</v>
      </c>
      <c r="E88" s="2" t="s">
        <v>11</v>
      </c>
      <c r="F88" s="3">
        <v>643582.00166399998</v>
      </c>
      <c r="G88" s="3">
        <v>403</v>
      </c>
      <c r="H88" s="3">
        <v>953</v>
      </c>
      <c r="I88" s="3" t="s">
        <v>252</v>
      </c>
      <c r="J88" s="18">
        <v>1101</v>
      </c>
      <c r="K88" s="18">
        <v>1</v>
      </c>
    </row>
    <row r="89" spans="1:11" ht="25.8" x14ac:dyDescent="0.5">
      <c r="A89" s="2">
        <v>2024</v>
      </c>
      <c r="B89" s="2" t="s">
        <v>12</v>
      </c>
      <c r="C89" s="2" t="s">
        <v>9</v>
      </c>
      <c r="D89" s="2" t="s">
        <v>115</v>
      </c>
      <c r="E89" s="2" t="s">
        <v>35</v>
      </c>
      <c r="F89" s="3">
        <v>653669.14636799996</v>
      </c>
      <c r="G89" s="3">
        <v>413</v>
      </c>
      <c r="H89" s="3">
        <v>930</v>
      </c>
      <c r="I89" s="3" t="s">
        <v>253</v>
      </c>
      <c r="J89" s="18">
        <v>1732</v>
      </c>
      <c r="K89" s="18">
        <v>1</v>
      </c>
    </row>
    <row r="90" spans="1:11" ht="25.8" x14ac:dyDescent="0.5">
      <c r="A90" s="2">
        <v>2024</v>
      </c>
      <c r="B90" s="2" t="s">
        <v>59</v>
      </c>
      <c r="C90" s="2" t="s">
        <v>9</v>
      </c>
      <c r="D90" s="2" t="s">
        <v>116</v>
      </c>
      <c r="E90" s="2" t="s">
        <v>11</v>
      </c>
      <c r="F90" s="3">
        <v>654609.24748800008</v>
      </c>
      <c r="G90" s="3">
        <v>403</v>
      </c>
      <c r="H90" s="3">
        <v>953</v>
      </c>
      <c r="I90" s="3" t="s">
        <v>254</v>
      </c>
      <c r="J90" s="18">
        <v>2122</v>
      </c>
      <c r="K90" s="18">
        <v>1</v>
      </c>
    </row>
    <row r="91" spans="1:11" ht="25.8" x14ac:dyDescent="0.5">
      <c r="A91" s="2">
        <v>2024</v>
      </c>
      <c r="B91" s="2" t="s">
        <v>29</v>
      </c>
      <c r="C91" s="2" t="s">
        <v>9</v>
      </c>
      <c r="D91" s="2" t="s">
        <v>117</v>
      </c>
      <c r="E91" s="2" t="s">
        <v>17</v>
      </c>
      <c r="F91" s="3">
        <v>657531.97977600014</v>
      </c>
      <c r="G91" s="3">
        <v>568</v>
      </c>
      <c r="H91" s="3">
        <v>505</v>
      </c>
      <c r="I91" s="3" t="s">
        <v>255</v>
      </c>
      <c r="J91" s="18">
        <v>1025</v>
      </c>
      <c r="K91" s="18">
        <v>1</v>
      </c>
    </row>
    <row r="92" spans="1:11" ht="25.8" x14ac:dyDescent="0.5">
      <c r="A92" s="2">
        <v>2024</v>
      </c>
      <c r="B92" s="2" t="s">
        <v>54</v>
      </c>
      <c r="C92" s="2" t="s">
        <v>9</v>
      </c>
      <c r="D92" s="2" t="s">
        <v>118</v>
      </c>
      <c r="E92" s="2" t="s">
        <v>35</v>
      </c>
      <c r="F92" s="3">
        <v>657644.23065599997</v>
      </c>
      <c r="G92" s="3">
        <v>413</v>
      </c>
      <c r="H92" s="3">
        <v>930</v>
      </c>
      <c r="I92" s="3" t="s">
        <v>256</v>
      </c>
      <c r="J92" s="18">
        <v>1740</v>
      </c>
      <c r="K92" s="18">
        <v>1</v>
      </c>
    </row>
    <row r="93" spans="1:11" ht="25.8" x14ac:dyDescent="0.5">
      <c r="A93" s="2">
        <v>2024</v>
      </c>
      <c r="B93" s="2" t="s">
        <v>59</v>
      </c>
      <c r="C93" s="2" t="s">
        <v>9</v>
      </c>
      <c r="D93" s="2" t="s">
        <v>119</v>
      </c>
      <c r="E93" s="2" t="s">
        <v>20</v>
      </c>
      <c r="F93" s="3">
        <v>659967.82387199998</v>
      </c>
      <c r="G93" s="3">
        <v>839</v>
      </c>
      <c r="H93" s="3">
        <v>334</v>
      </c>
      <c r="I93" s="3" t="s">
        <v>257</v>
      </c>
      <c r="J93" s="18">
        <v>720</v>
      </c>
      <c r="K93" s="18">
        <v>1</v>
      </c>
    </row>
    <row r="94" spans="1:11" ht="25.8" x14ac:dyDescent="0.5">
      <c r="A94" s="2">
        <v>2024</v>
      </c>
      <c r="B94" s="2" t="s">
        <v>50</v>
      </c>
      <c r="C94" s="2" t="s">
        <v>9</v>
      </c>
      <c r="D94" s="2" t="s">
        <v>120</v>
      </c>
      <c r="E94" s="2" t="s">
        <v>22</v>
      </c>
      <c r="F94" s="3">
        <v>662396.65228799998</v>
      </c>
      <c r="G94" s="3">
        <v>93</v>
      </c>
      <c r="H94" s="3">
        <v>852</v>
      </c>
      <c r="I94" s="3" t="s">
        <v>258</v>
      </c>
      <c r="J94" s="18">
        <v>2060</v>
      </c>
      <c r="K94" s="18">
        <v>1</v>
      </c>
    </row>
    <row r="95" spans="1:11" ht="25.8" x14ac:dyDescent="0.5">
      <c r="A95" s="2">
        <v>2024</v>
      </c>
      <c r="B95" s="2" t="s">
        <v>18</v>
      </c>
      <c r="C95" s="2" t="s">
        <v>9</v>
      </c>
      <c r="D95" s="2" t="s">
        <v>121</v>
      </c>
      <c r="E95" s="2" t="s">
        <v>66</v>
      </c>
      <c r="F95" s="3">
        <v>675998.652672</v>
      </c>
      <c r="G95" s="3">
        <v>168</v>
      </c>
      <c r="H95" s="3">
        <v>97</v>
      </c>
      <c r="I95" s="3" t="s">
        <v>259</v>
      </c>
      <c r="J95" s="18">
        <v>223</v>
      </c>
      <c r="K95" s="18">
        <v>1</v>
      </c>
    </row>
    <row r="96" spans="1:11" ht="25.8" x14ac:dyDescent="0.5">
      <c r="A96" s="2">
        <v>2024</v>
      </c>
      <c r="B96" s="2" t="s">
        <v>18</v>
      </c>
      <c r="C96" s="2" t="s">
        <v>9</v>
      </c>
      <c r="D96" s="2" t="s">
        <v>122</v>
      </c>
      <c r="E96" s="2" t="s">
        <v>38</v>
      </c>
      <c r="F96" s="3">
        <v>691680.10060800007</v>
      </c>
      <c r="G96" s="3">
        <v>930</v>
      </c>
      <c r="H96" s="3">
        <v>563</v>
      </c>
      <c r="I96" s="3" t="s">
        <v>260</v>
      </c>
      <c r="J96" s="18">
        <v>1383</v>
      </c>
      <c r="K96" s="18">
        <v>1</v>
      </c>
    </row>
    <row r="97" spans="1:11" ht="25.8" x14ac:dyDescent="0.5">
      <c r="A97" s="2">
        <v>2024</v>
      </c>
      <c r="B97" s="2" t="s">
        <v>50</v>
      </c>
      <c r="C97" s="2" t="s">
        <v>9</v>
      </c>
      <c r="D97" s="2" t="s">
        <v>123</v>
      </c>
      <c r="E97" s="2" t="s">
        <v>66</v>
      </c>
      <c r="F97" s="3">
        <v>693425.601792</v>
      </c>
      <c r="G97" s="3">
        <v>597</v>
      </c>
      <c r="H97" s="3">
        <v>287</v>
      </c>
      <c r="I97" s="3" t="s">
        <v>261</v>
      </c>
      <c r="J97" s="18">
        <v>710</v>
      </c>
      <c r="K97" s="18">
        <v>1</v>
      </c>
    </row>
    <row r="98" spans="1:11" ht="25.8" x14ac:dyDescent="0.5">
      <c r="A98" s="2">
        <v>2024</v>
      </c>
      <c r="B98" s="2" t="s">
        <v>59</v>
      </c>
      <c r="C98" s="2" t="s">
        <v>9</v>
      </c>
      <c r="D98" s="2" t="s">
        <v>124</v>
      </c>
      <c r="E98" s="2" t="s">
        <v>35</v>
      </c>
      <c r="F98" s="3">
        <v>701698.49164799997</v>
      </c>
      <c r="G98" s="3">
        <v>784</v>
      </c>
      <c r="H98" s="3">
        <v>540</v>
      </c>
      <c r="I98" s="3" t="s">
        <v>250</v>
      </c>
      <c r="J98" s="18">
        <v>841</v>
      </c>
      <c r="K98" s="18">
        <v>1</v>
      </c>
    </row>
    <row r="99" spans="1:11" ht="25.8" x14ac:dyDescent="0.5">
      <c r="A99" s="2">
        <v>2024</v>
      </c>
      <c r="B99" s="2" t="s">
        <v>27</v>
      </c>
      <c r="C99" s="2" t="s">
        <v>9</v>
      </c>
      <c r="D99" s="2" t="s">
        <v>125</v>
      </c>
      <c r="E99" s="2" t="s">
        <v>38</v>
      </c>
      <c r="F99" s="3">
        <v>705754.95782400004</v>
      </c>
      <c r="G99" s="3">
        <v>568</v>
      </c>
      <c r="H99" s="3">
        <v>505</v>
      </c>
      <c r="I99" s="3" t="s">
        <v>251</v>
      </c>
      <c r="J99" s="18">
        <v>1246</v>
      </c>
      <c r="K99" s="18">
        <v>1</v>
      </c>
    </row>
    <row r="100" spans="1:11" ht="25.8" x14ac:dyDescent="0.5">
      <c r="A100" s="2">
        <v>2024</v>
      </c>
      <c r="B100" s="2" t="s">
        <v>29</v>
      </c>
      <c r="C100" s="2" t="s">
        <v>9</v>
      </c>
      <c r="D100" s="2" t="s">
        <v>126</v>
      </c>
      <c r="E100" s="2" t="s">
        <v>17</v>
      </c>
      <c r="F100" s="3">
        <v>709523.78112000006</v>
      </c>
      <c r="G100" s="3">
        <v>795</v>
      </c>
      <c r="H100" s="3">
        <v>469</v>
      </c>
      <c r="I100" s="3" t="s">
        <v>252</v>
      </c>
      <c r="J100" s="18">
        <v>681</v>
      </c>
      <c r="K100" s="18">
        <v>1</v>
      </c>
    </row>
    <row r="101" spans="1:11" ht="25.8" x14ac:dyDescent="0.5">
      <c r="A101" s="2">
        <v>2024</v>
      </c>
      <c r="B101" s="2" t="s">
        <v>18</v>
      </c>
      <c r="C101" s="2" t="s">
        <v>9</v>
      </c>
      <c r="D101" s="2" t="s">
        <v>127</v>
      </c>
      <c r="E101" s="2" t="s">
        <v>22</v>
      </c>
      <c r="F101" s="3">
        <v>710940.94848000002</v>
      </c>
      <c r="G101" s="3">
        <v>610</v>
      </c>
      <c r="H101" s="3">
        <v>970</v>
      </c>
      <c r="I101" s="3" t="s">
        <v>253</v>
      </c>
      <c r="J101" s="18">
        <v>1815</v>
      </c>
      <c r="K101" s="18">
        <v>1</v>
      </c>
    </row>
    <row r="102" spans="1:11" ht="25.8" x14ac:dyDescent="0.5">
      <c r="A102" s="2">
        <v>2024</v>
      </c>
      <c r="B102" s="2" t="s">
        <v>27</v>
      </c>
      <c r="C102" s="2" t="s">
        <v>9</v>
      </c>
      <c r="D102" s="2" t="s">
        <v>128</v>
      </c>
      <c r="E102" s="2" t="s">
        <v>22</v>
      </c>
      <c r="F102" s="3">
        <v>724792.70707200002</v>
      </c>
      <c r="G102" s="3">
        <v>610</v>
      </c>
      <c r="H102" s="3">
        <v>970</v>
      </c>
      <c r="I102" s="3" t="s">
        <v>254</v>
      </c>
      <c r="J102" s="18">
        <v>2000</v>
      </c>
      <c r="K102" s="18">
        <v>1</v>
      </c>
    </row>
    <row r="103" spans="1:11" ht="25.8" x14ac:dyDescent="0.5">
      <c r="A103" s="2">
        <v>2024</v>
      </c>
      <c r="B103" s="2" t="s">
        <v>8</v>
      </c>
      <c r="C103" s="2" t="s">
        <v>9</v>
      </c>
      <c r="D103" s="2" t="s">
        <v>129</v>
      </c>
      <c r="E103" s="2" t="s">
        <v>14</v>
      </c>
      <c r="F103" s="3">
        <v>728743.9380480001</v>
      </c>
      <c r="G103" s="3">
        <v>930</v>
      </c>
      <c r="H103" s="3">
        <v>563</v>
      </c>
      <c r="I103" s="3" t="s">
        <v>255</v>
      </c>
      <c r="J103" s="18">
        <v>1020</v>
      </c>
      <c r="K103" s="18">
        <v>1</v>
      </c>
    </row>
    <row r="104" spans="1:11" ht="25.8" x14ac:dyDescent="0.5">
      <c r="A104" s="2">
        <v>2024</v>
      </c>
      <c r="B104" s="2" t="s">
        <v>29</v>
      </c>
      <c r="C104" s="2" t="s">
        <v>9</v>
      </c>
      <c r="D104" s="2" t="s">
        <v>130</v>
      </c>
      <c r="E104" s="2" t="s">
        <v>14</v>
      </c>
      <c r="F104" s="3">
        <v>733256.42342399992</v>
      </c>
      <c r="G104" s="3">
        <v>839</v>
      </c>
      <c r="H104" s="3">
        <v>983</v>
      </c>
      <c r="I104" s="3" t="s">
        <v>256</v>
      </c>
      <c r="J104" s="18">
        <v>1149</v>
      </c>
      <c r="K104" s="18">
        <v>1</v>
      </c>
    </row>
    <row r="105" spans="1:11" ht="25.8" x14ac:dyDescent="0.5">
      <c r="A105" s="2">
        <v>2024</v>
      </c>
      <c r="B105" s="2" t="s">
        <v>12</v>
      </c>
      <c r="C105" s="2" t="s">
        <v>9</v>
      </c>
      <c r="D105" s="2" t="s">
        <v>131</v>
      </c>
      <c r="E105" s="2" t="s">
        <v>20</v>
      </c>
      <c r="F105" s="3">
        <v>735205.37932800001</v>
      </c>
      <c r="G105" s="3">
        <v>839</v>
      </c>
      <c r="H105" s="3">
        <v>334</v>
      </c>
      <c r="I105" s="3" t="s">
        <v>257</v>
      </c>
      <c r="J105" s="18">
        <v>426</v>
      </c>
      <c r="K105" s="18">
        <v>1</v>
      </c>
    </row>
    <row r="106" spans="1:11" ht="25.8" x14ac:dyDescent="0.5">
      <c r="A106" s="2">
        <v>2024</v>
      </c>
      <c r="B106" s="2" t="s">
        <v>27</v>
      </c>
      <c r="C106" s="2" t="s">
        <v>9</v>
      </c>
      <c r="D106" s="2" t="s">
        <v>132</v>
      </c>
      <c r="E106" s="2" t="s">
        <v>35</v>
      </c>
      <c r="F106" s="3">
        <v>735487.40966400004</v>
      </c>
      <c r="G106" s="3">
        <v>93</v>
      </c>
      <c r="H106" s="3">
        <v>852</v>
      </c>
      <c r="I106" s="3" t="s">
        <v>258</v>
      </c>
      <c r="J106" s="18">
        <v>1228</v>
      </c>
      <c r="K106" s="18">
        <v>1</v>
      </c>
    </row>
    <row r="107" spans="1:11" ht="25.8" x14ac:dyDescent="0.5">
      <c r="A107" s="2">
        <v>2024</v>
      </c>
      <c r="B107" s="2" t="s">
        <v>50</v>
      </c>
      <c r="C107" s="2" t="s">
        <v>9</v>
      </c>
      <c r="D107" s="2" t="s">
        <v>133</v>
      </c>
      <c r="E107" s="2" t="s">
        <v>14</v>
      </c>
      <c r="F107" s="3">
        <v>762994.48780799995</v>
      </c>
      <c r="G107" s="3">
        <v>839</v>
      </c>
      <c r="H107" s="3">
        <v>983</v>
      </c>
      <c r="I107" s="3" t="s">
        <v>259</v>
      </c>
      <c r="J107" s="18">
        <v>2446</v>
      </c>
      <c r="K107" s="18">
        <v>1</v>
      </c>
    </row>
    <row r="108" spans="1:11" ht="25.8" x14ac:dyDescent="0.5">
      <c r="A108" s="2">
        <v>2024</v>
      </c>
      <c r="B108" s="2" t="s">
        <v>18</v>
      </c>
      <c r="C108" s="2" t="s">
        <v>9</v>
      </c>
      <c r="D108" s="2" t="s">
        <v>134</v>
      </c>
      <c r="E108" s="2" t="s">
        <v>17</v>
      </c>
      <c r="F108" s="3">
        <v>767403.14112000004</v>
      </c>
      <c r="G108" s="3">
        <v>312</v>
      </c>
      <c r="H108" s="3">
        <v>983</v>
      </c>
      <c r="I108" s="3" t="s">
        <v>260</v>
      </c>
      <c r="J108" s="18">
        <v>2126</v>
      </c>
      <c r="K108" s="18">
        <v>1</v>
      </c>
    </row>
    <row r="109" spans="1:11" ht="25.8" x14ac:dyDescent="0.5">
      <c r="A109" s="2">
        <v>2024</v>
      </c>
      <c r="B109" s="2" t="s">
        <v>18</v>
      </c>
      <c r="C109" s="2" t="s">
        <v>9</v>
      </c>
      <c r="D109" s="2" t="s">
        <v>135</v>
      </c>
      <c r="E109" s="2" t="s">
        <v>22</v>
      </c>
      <c r="F109" s="3">
        <v>767403.14112000004</v>
      </c>
      <c r="G109" s="3">
        <v>568</v>
      </c>
      <c r="H109" s="3">
        <v>505</v>
      </c>
      <c r="I109" s="3" t="s">
        <v>261</v>
      </c>
      <c r="J109" s="18">
        <v>1074</v>
      </c>
      <c r="K109" s="18">
        <v>1</v>
      </c>
    </row>
    <row r="110" spans="1:11" ht="25.8" x14ac:dyDescent="0.5">
      <c r="A110" s="2">
        <v>2024</v>
      </c>
      <c r="B110" s="2" t="s">
        <v>18</v>
      </c>
      <c r="C110" s="2" t="s">
        <v>9</v>
      </c>
      <c r="D110" s="2" t="s">
        <v>136</v>
      </c>
      <c r="E110" s="2" t="s">
        <v>22</v>
      </c>
      <c r="F110" s="3">
        <v>782829.21830399986</v>
      </c>
      <c r="G110" s="3">
        <v>968</v>
      </c>
      <c r="H110" s="3">
        <v>330</v>
      </c>
      <c r="I110" s="3" t="s">
        <v>250</v>
      </c>
      <c r="J110" s="18">
        <v>561</v>
      </c>
      <c r="K110" s="18">
        <v>1</v>
      </c>
    </row>
    <row r="111" spans="1:11" ht="25.8" x14ac:dyDescent="0.5">
      <c r="A111" s="2">
        <v>2024</v>
      </c>
      <c r="B111" s="2" t="s">
        <v>27</v>
      </c>
      <c r="C111" s="2" t="s">
        <v>9</v>
      </c>
      <c r="D111" s="2" t="s">
        <v>137</v>
      </c>
      <c r="E111" s="2" t="s">
        <v>66</v>
      </c>
      <c r="F111" s="3">
        <v>796526.63193599996</v>
      </c>
      <c r="G111" s="3">
        <v>968</v>
      </c>
      <c r="H111" s="3">
        <v>330</v>
      </c>
      <c r="I111" s="3" t="s">
        <v>251</v>
      </c>
      <c r="J111" s="18">
        <v>794</v>
      </c>
      <c r="K111" s="18">
        <v>1</v>
      </c>
    </row>
    <row r="112" spans="1:11" ht="25.8" x14ac:dyDescent="0.5">
      <c r="A112" s="2">
        <v>2024</v>
      </c>
      <c r="B112" s="2" t="s">
        <v>18</v>
      </c>
      <c r="C112" s="2" t="s">
        <v>9</v>
      </c>
      <c r="D112" s="2" t="s">
        <v>138</v>
      </c>
      <c r="E112" s="2" t="s">
        <v>20</v>
      </c>
      <c r="F112" s="3">
        <v>805070.32704000012</v>
      </c>
      <c r="G112" s="3">
        <v>839</v>
      </c>
      <c r="H112" s="3">
        <v>334</v>
      </c>
      <c r="I112" s="3" t="s">
        <v>252</v>
      </c>
      <c r="J112" s="18">
        <v>367</v>
      </c>
      <c r="K112" s="18">
        <v>1</v>
      </c>
    </row>
    <row r="113" spans="1:11" ht="25.8" x14ac:dyDescent="0.5">
      <c r="A113" s="2">
        <v>2024</v>
      </c>
      <c r="B113" s="2" t="s">
        <v>8</v>
      </c>
      <c r="C113" s="2" t="s">
        <v>9</v>
      </c>
      <c r="D113" s="2" t="s">
        <v>139</v>
      </c>
      <c r="E113" s="2" t="s">
        <v>38</v>
      </c>
      <c r="F113" s="3">
        <v>819316.36684800009</v>
      </c>
      <c r="G113" s="3">
        <v>839</v>
      </c>
      <c r="H113" s="3">
        <v>983</v>
      </c>
      <c r="I113" s="3" t="s">
        <v>253</v>
      </c>
      <c r="J113" s="18">
        <v>2060</v>
      </c>
      <c r="K113" s="18">
        <v>1</v>
      </c>
    </row>
    <row r="114" spans="1:11" ht="25.8" x14ac:dyDescent="0.5">
      <c r="A114" s="2">
        <v>2024</v>
      </c>
      <c r="B114" s="2" t="s">
        <v>27</v>
      </c>
      <c r="C114" s="2" t="s">
        <v>9</v>
      </c>
      <c r="D114" s="2" t="s">
        <v>140</v>
      </c>
      <c r="E114" s="2" t="s">
        <v>38</v>
      </c>
      <c r="F114" s="3">
        <v>820704.06835199997</v>
      </c>
      <c r="G114" s="3">
        <v>168</v>
      </c>
      <c r="H114" s="3">
        <v>97</v>
      </c>
      <c r="I114" s="3" t="s">
        <v>254</v>
      </c>
      <c r="J114" s="18">
        <v>223</v>
      </c>
      <c r="K114" s="18">
        <v>1</v>
      </c>
    </row>
    <row r="115" spans="1:11" ht="25.8" x14ac:dyDescent="0.5">
      <c r="A115" s="2">
        <v>2024</v>
      </c>
      <c r="B115" s="2" t="s">
        <v>8</v>
      </c>
      <c r="C115" s="2" t="s">
        <v>9</v>
      </c>
      <c r="D115" s="2" t="s">
        <v>141</v>
      </c>
      <c r="E115" s="2" t="s">
        <v>14</v>
      </c>
      <c r="F115" s="3">
        <v>824959.77984000009</v>
      </c>
      <c r="G115" s="3">
        <v>795</v>
      </c>
      <c r="H115" s="3">
        <v>469</v>
      </c>
      <c r="I115" s="3" t="s">
        <v>255</v>
      </c>
      <c r="J115" s="18">
        <v>931</v>
      </c>
      <c r="K115" s="18">
        <v>1</v>
      </c>
    </row>
    <row r="116" spans="1:11" ht="25.8" x14ac:dyDescent="0.5">
      <c r="A116" s="2">
        <v>2024</v>
      </c>
      <c r="B116" s="2" t="s">
        <v>59</v>
      </c>
      <c r="C116" s="2" t="s">
        <v>9</v>
      </c>
      <c r="D116" s="2" t="s">
        <v>142</v>
      </c>
      <c r="E116" s="2" t="s">
        <v>22</v>
      </c>
      <c r="F116" s="3">
        <v>827336.692224</v>
      </c>
      <c r="G116" s="3">
        <v>312</v>
      </c>
      <c r="H116" s="3">
        <v>983</v>
      </c>
      <c r="I116" s="3" t="s">
        <v>256</v>
      </c>
      <c r="J116" s="18">
        <v>1119</v>
      </c>
      <c r="K116" s="18">
        <v>1</v>
      </c>
    </row>
    <row r="117" spans="1:11" ht="25.8" x14ac:dyDescent="0.5">
      <c r="A117" s="2">
        <v>2024</v>
      </c>
      <c r="B117" s="2" t="s">
        <v>8</v>
      </c>
      <c r="C117" s="2" t="s">
        <v>9</v>
      </c>
      <c r="D117" s="2" t="s">
        <v>143</v>
      </c>
      <c r="E117" s="2" t="s">
        <v>22</v>
      </c>
      <c r="F117" s="3">
        <v>837290.53900800005</v>
      </c>
      <c r="G117" s="3">
        <v>403</v>
      </c>
      <c r="H117" s="3">
        <v>953</v>
      </c>
      <c r="I117" s="3" t="s">
        <v>257</v>
      </c>
      <c r="J117" s="18">
        <v>1677</v>
      </c>
      <c r="K117" s="18">
        <v>1</v>
      </c>
    </row>
    <row r="118" spans="1:11" ht="25.8" x14ac:dyDescent="0.5">
      <c r="A118" s="2">
        <v>2024</v>
      </c>
      <c r="B118" s="2" t="s">
        <v>12</v>
      </c>
      <c r="C118" s="2" t="s">
        <v>9</v>
      </c>
      <c r="D118" s="2" t="s">
        <v>144</v>
      </c>
      <c r="E118" s="2" t="s">
        <v>11</v>
      </c>
      <c r="F118" s="3">
        <v>839567.828736</v>
      </c>
      <c r="G118" s="3">
        <v>784</v>
      </c>
      <c r="H118" s="3">
        <v>540</v>
      </c>
      <c r="I118" s="3" t="s">
        <v>258</v>
      </c>
      <c r="J118" s="18">
        <v>921</v>
      </c>
      <c r="K118" s="18">
        <v>1</v>
      </c>
    </row>
    <row r="119" spans="1:11" ht="25.8" x14ac:dyDescent="0.5">
      <c r="A119" s="2">
        <v>2024</v>
      </c>
      <c r="B119" s="2" t="s">
        <v>8</v>
      </c>
      <c r="C119" s="2" t="s">
        <v>9</v>
      </c>
      <c r="D119" s="2" t="s">
        <v>145</v>
      </c>
      <c r="E119" s="2" t="s">
        <v>14</v>
      </c>
      <c r="F119" s="3">
        <v>858720.635136</v>
      </c>
      <c r="G119" s="3">
        <v>968</v>
      </c>
      <c r="H119" s="3">
        <v>330</v>
      </c>
      <c r="I119" s="3" t="s">
        <v>259</v>
      </c>
      <c r="J119" s="18">
        <v>499</v>
      </c>
      <c r="K119" s="18">
        <v>1</v>
      </c>
    </row>
    <row r="120" spans="1:11" ht="25.8" x14ac:dyDescent="0.5">
      <c r="A120" s="2">
        <v>2024</v>
      </c>
      <c r="B120" s="2" t="s">
        <v>12</v>
      </c>
      <c r="C120" s="2" t="s">
        <v>9</v>
      </c>
      <c r="D120" s="2" t="s">
        <v>146</v>
      </c>
      <c r="E120" s="2" t="s">
        <v>17</v>
      </c>
      <c r="F120" s="3">
        <v>859627.06099200004</v>
      </c>
      <c r="G120" s="3">
        <v>568</v>
      </c>
      <c r="H120" s="3">
        <v>505</v>
      </c>
      <c r="I120" s="3" t="s">
        <v>260</v>
      </c>
      <c r="J120" s="18">
        <v>870</v>
      </c>
      <c r="K120" s="18">
        <v>1</v>
      </c>
    </row>
    <row r="121" spans="1:11" ht="25.8" x14ac:dyDescent="0.5">
      <c r="A121" s="2">
        <v>2024</v>
      </c>
      <c r="B121" s="2" t="s">
        <v>23</v>
      </c>
      <c r="C121" s="2" t="s">
        <v>9</v>
      </c>
      <c r="D121" s="2" t="s">
        <v>147</v>
      </c>
      <c r="E121" s="2" t="s">
        <v>14</v>
      </c>
      <c r="F121" s="3">
        <v>867574.42329599988</v>
      </c>
      <c r="G121" s="3">
        <v>413</v>
      </c>
      <c r="H121" s="3">
        <v>930</v>
      </c>
      <c r="I121" s="3" t="s">
        <v>261</v>
      </c>
      <c r="J121" s="18">
        <v>2137</v>
      </c>
      <c r="K121" s="18">
        <v>1</v>
      </c>
    </row>
    <row r="122" spans="1:11" ht="25.8" x14ac:dyDescent="0.5">
      <c r="A122" s="2">
        <v>2024</v>
      </c>
      <c r="B122" s="2" t="s">
        <v>15</v>
      </c>
      <c r="C122" s="2" t="s">
        <v>9</v>
      </c>
      <c r="D122" s="2" t="s">
        <v>148</v>
      </c>
      <c r="E122" s="2" t="s">
        <v>66</v>
      </c>
      <c r="F122" s="3">
        <v>867574.42329599988</v>
      </c>
      <c r="G122" s="3">
        <v>930</v>
      </c>
      <c r="H122" s="3">
        <v>563</v>
      </c>
      <c r="I122" s="3" t="s">
        <v>250</v>
      </c>
      <c r="J122" s="18">
        <v>1096</v>
      </c>
      <c r="K122" s="18">
        <v>1</v>
      </c>
    </row>
    <row r="123" spans="1:11" ht="25.8" x14ac:dyDescent="0.5">
      <c r="A123" s="2">
        <v>2024</v>
      </c>
      <c r="B123" s="2" t="s">
        <v>18</v>
      </c>
      <c r="C123" s="2" t="s">
        <v>9</v>
      </c>
      <c r="D123" s="2" t="s">
        <v>149</v>
      </c>
      <c r="E123" s="2" t="s">
        <v>38</v>
      </c>
      <c r="F123" s="3">
        <v>873313.24953599996</v>
      </c>
      <c r="G123" s="3">
        <v>839</v>
      </c>
      <c r="H123" s="3">
        <v>334</v>
      </c>
      <c r="I123" s="3" t="s">
        <v>251</v>
      </c>
      <c r="J123" s="18">
        <v>649</v>
      </c>
      <c r="K123" s="18">
        <v>1</v>
      </c>
    </row>
    <row r="124" spans="1:11" ht="25.8" x14ac:dyDescent="0.5">
      <c r="A124" s="2">
        <v>2024</v>
      </c>
      <c r="B124" s="2" t="s">
        <v>18</v>
      </c>
      <c r="C124" s="2" t="s">
        <v>9</v>
      </c>
      <c r="D124" s="2" t="s">
        <v>150</v>
      </c>
      <c r="E124" s="2" t="s">
        <v>17</v>
      </c>
      <c r="F124" s="3">
        <v>878259.30393599998</v>
      </c>
      <c r="G124" s="3">
        <v>403</v>
      </c>
      <c r="H124" s="3">
        <v>953</v>
      </c>
      <c r="I124" s="3" t="s">
        <v>252</v>
      </c>
      <c r="J124" s="18">
        <v>1958</v>
      </c>
      <c r="K124" s="18">
        <v>1</v>
      </c>
    </row>
    <row r="125" spans="1:11" ht="25.8" x14ac:dyDescent="0.5">
      <c r="A125" s="2">
        <v>2024</v>
      </c>
      <c r="B125" s="2" t="s">
        <v>15</v>
      </c>
      <c r="C125" s="2" t="s">
        <v>9</v>
      </c>
      <c r="D125" s="2" t="s">
        <v>151</v>
      </c>
      <c r="E125" s="2" t="s">
        <v>66</v>
      </c>
      <c r="F125" s="3">
        <v>884691.27935999993</v>
      </c>
      <c r="G125" s="3">
        <v>210</v>
      </c>
      <c r="H125" s="3">
        <v>177</v>
      </c>
      <c r="I125" s="3" t="s">
        <v>253</v>
      </c>
      <c r="J125" s="18">
        <v>311</v>
      </c>
      <c r="K125" s="18">
        <v>1</v>
      </c>
    </row>
    <row r="126" spans="1:11" ht="25.8" x14ac:dyDescent="0.5">
      <c r="A126" s="2">
        <v>2024</v>
      </c>
      <c r="B126" s="2" t="s">
        <v>29</v>
      </c>
      <c r="C126" s="2" t="s">
        <v>9</v>
      </c>
      <c r="D126" s="2" t="s">
        <v>152</v>
      </c>
      <c r="E126" s="2" t="s">
        <v>14</v>
      </c>
      <c r="F126" s="3">
        <v>885927.44217599998</v>
      </c>
      <c r="G126" s="3">
        <v>839</v>
      </c>
      <c r="H126" s="3">
        <v>334</v>
      </c>
      <c r="I126" s="3" t="s">
        <v>254</v>
      </c>
      <c r="J126" s="18">
        <v>577</v>
      </c>
      <c r="K126" s="18">
        <v>1</v>
      </c>
    </row>
    <row r="127" spans="1:11" ht="25.8" x14ac:dyDescent="0.5">
      <c r="A127" s="2">
        <v>2024</v>
      </c>
      <c r="B127" s="2" t="s">
        <v>18</v>
      </c>
      <c r="C127" s="2" t="s">
        <v>9</v>
      </c>
      <c r="D127" s="2" t="s">
        <v>153</v>
      </c>
      <c r="E127" s="2" t="s">
        <v>66</v>
      </c>
      <c r="F127" s="3">
        <v>889628.91494400008</v>
      </c>
      <c r="G127" s="3">
        <v>839</v>
      </c>
      <c r="H127" s="3">
        <v>983</v>
      </c>
      <c r="I127" s="3" t="s">
        <v>255</v>
      </c>
      <c r="J127" s="18">
        <v>2137</v>
      </c>
      <c r="K127" s="18">
        <v>1</v>
      </c>
    </row>
    <row r="128" spans="1:11" ht="25.8" x14ac:dyDescent="0.5">
      <c r="A128" s="2">
        <v>2024</v>
      </c>
      <c r="B128" s="2" t="s">
        <v>50</v>
      </c>
      <c r="C128" s="2" t="s">
        <v>9</v>
      </c>
      <c r="D128" s="2" t="s">
        <v>154</v>
      </c>
      <c r="E128" s="2" t="s">
        <v>26</v>
      </c>
      <c r="F128" s="3">
        <v>893206.91174400004</v>
      </c>
      <c r="G128" s="3">
        <v>872</v>
      </c>
      <c r="H128" s="3">
        <v>249</v>
      </c>
      <c r="I128" s="3" t="s">
        <v>256</v>
      </c>
      <c r="J128" s="18">
        <v>540</v>
      </c>
      <c r="K128" s="18">
        <v>1</v>
      </c>
    </row>
    <row r="129" spans="1:11" ht="25.8" x14ac:dyDescent="0.5">
      <c r="A129" s="2">
        <v>2024</v>
      </c>
      <c r="B129" s="2" t="s">
        <v>12</v>
      </c>
      <c r="C129" s="2" t="s">
        <v>9</v>
      </c>
      <c r="D129" s="2" t="s">
        <v>155</v>
      </c>
      <c r="E129" s="2" t="s">
        <v>14</v>
      </c>
      <c r="F129" s="3">
        <v>937711.57939199999</v>
      </c>
      <c r="G129" s="3">
        <v>312</v>
      </c>
      <c r="H129" s="3">
        <v>983</v>
      </c>
      <c r="I129" s="3" t="s">
        <v>257</v>
      </c>
      <c r="J129" s="18">
        <v>2205</v>
      </c>
      <c r="K129" s="18">
        <v>1</v>
      </c>
    </row>
    <row r="130" spans="1:11" ht="25.8" x14ac:dyDescent="0.5">
      <c r="A130" s="2">
        <v>2024</v>
      </c>
      <c r="B130" s="2" t="s">
        <v>29</v>
      </c>
      <c r="C130" s="2" t="s">
        <v>9</v>
      </c>
      <c r="D130" s="2" t="s">
        <v>156</v>
      </c>
      <c r="E130" s="2" t="s">
        <v>17</v>
      </c>
      <c r="F130" s="3">
        <v>978998.85619199998</v>
      </c>
      <c r="G130" s="3">
        <v>168</v>
      </c>
      <c r="H130" s="3">
        <v>97</v>
      </c>
      <c r="I130" s="3" t="s">
        <v>258</v>
      </c>
      <c r="J130" s="18">
        <v>195</v>
      </c>
      <c r="K130" s="18">
        <v>1</v>
      </c>
    </row>
    <row r="131" spans="1:11" ht="25.8" x14ac:dyDescent="0.5">
      <c r="A131" s="2">
        <v>2024</v>
      </c>
      <c r="B131" s="2" t="s">
        <v>12</v>
      </c>
      <c r="C131" s="2" t="s">
        <v>9</v>
      </c>
      <c r="D131" s="2" t="s">
        <v>157</v>
      </c>
      <c r="E131" s="2" t="s">
        <v>22</v>
      </c>
      <c r="F131" s="3">
        <v>985161.42950399988</v>
      </c>
      <c r="G131" s="3">
        <v>413</v>
      </c>
      <c r="H131" s="3">
        <v>930</v>
      </c>
      <c r="I131" s="3" t="s">
        <v>259</v>
      </c>
      <c r="J131" s="18">
        <v>1029</v>
      </c>
      <c r="K131" s="18">
        <v>1</v>
      </c>
    </row>
    <row r="132" spans="1:11" ht="25.8" x14ac:dyDescent="0.5">
      <c r="A132" s="2">
        <v>2024</v>
      </c>
      <c r="B132" s="2" t="s">
        <v>15</v>
      </c>
      <c r="C132" s="2" t="s">
        <v>9</v>
      </c>
      <c r="D132" s="2" t="s">
        <v>158</v>
      </c>
      <c r="E132" s="2" t="s">
        <v>35</v>
      </c>
      <c r="F132" s="3">
        <v>1004613.103872</v>
      </c>
      <c r="G132" s="3">
        <v>749</v>
      </c>
      <c r="H132" s="3">
        <v>648</v>
      </c>
      <c r="I132" s="3" t="s">
        <v>260</v>
      </c>
      <c r="J132" s="18">
        <v>1476</v>
      </c>
      <c r="K132" s="18">
        <v>1</v>
      </c>
    </row>
    <row r="133" spans="1:11" ht="25.8" x14ac:dyDescent="0.5">
      <c r="A133" s="2">
        <v>2024</v>
      </c>
      <c r="B133" s="2" t="s">
        <v>18</v>
      </c>
      <c r="C133" s="2" t="s">
        <v>9</v>
      </c>
      <c r="D133" s="2" t="s">
        <v>159</v>
      </c>
      <c r="E133" s="2" t="s">
        <v>35</v>
      </c>
      <c r="F133" s="3">
        <v>1004613.103872</v>
      </c>
      <c r="G133" s="3">
        <v>784</v>
      </c>
      <c r="H133" s="3">
        <v>540</v>
      </c>
      <c r="I133" s="3" t="s">
        <v>261</v>
      </c>
      <c r="J133" s="18">
        <v>878</v>
      </c>
      <c r="K133" s="18">
        <v>1</v>
      </c>
    </row>
    <row r="134" spans="1:11" ht="25.8" x14ac:dyDescent="0.5">
      <c r="A134" s="2">
        <v>2024</v>
      </c>
      <c r="B134" s="2" t="s">
        <v>54</v>
      </c>
      <c r="C134" s="2" t="s">
        <v>9</v>
      </c>
      <c r="D134" s="2" t="s">
        <v>160</v>
      </c>
      <c r="E134" s="2" t="s">
        <v>26</v>
      </c>
      <c r="F134" s="3">
        <v>1020535.8912</v>
      </c>
      <c r="G134" s="3">
        <v>312</v>
      </c>
      <c r="H134" s="3">
        <v>983</v>
      </c>
      <c r="I134" s="3" t="s">
        <v>250</v>
      </c>
      <c r="J134" s="18">
        <v>1407</v>
      </c>
      <c r="K134" s="18">
        <v>1</v>
      </c>
    </row>
    <row r="135" spans="1:11" ht="25.8" x14ac:dyDescent="0.5">
      <c r="A135" s="2">
        <v>2024</v>
      </c>
      <c r="B135" s="2" t="s">
        <v>27</v>
      </c>
      <c r="C135" s="2" t="s">
        <v>9</v>
      </c>
      <c r="D135" s="2" t="s">
        <v>130</v>
      </c>
      <c r="E135" s="2" t="s">
        <v>17</v>
      </c>
      <c r="F135" s="3">
        <v>1021491.4268159999</v>
      </c>
      <c r="G135" s="3">
        <v>795</v>
      </c>
      <c r="H135" s="3">
        <v>469</v>
      </c>
      <c r="I135" s="3" t="s">
        <v>251</v>
      </c>
      <c r="J135" s="18">
        <v>846</v>
      </c>
      <c r="K135" s="18">
        <v>1</v>
      </c>
    </row>
    <row r="136" spans="1:11" ht="25.8" x14ac:dyDescent="0.5">
      <c r="A136" s="2">
        <v>2024</v>
      </c>
      <c r="B136" s="2" t="s">
        <v>18</v>
      </c>
      <c r="C136" s="2" t="s">
        <v>9</v>
      </c>
      <c r="D136" s="2" t="s">
        <v>161</v>
      </c>
      <c r="E136" s="2" t="s">
        <v>38</v>
      </c>
      <c r="F136" s="3">
        <v>1021814.148096</v>
      </c>
      <c r="G136" s="3">
        <v>610</v>
      </c>
      <c r="H136" s="3">
        <v>970</v>
      </c>
      <c r="I136" s="3" t="s">
        <v>252</v>
      </c>
      <c r="J136" s="18">
        <v>2129</v>
      </c>
      <c r="K136" s="18">
        <v>1</v>
      </c>
    </row>
    <row r="137" spans="1:11" ht="25.8" x14ac:dyDescent="0.5">
      <c r="A137" s="2">
        <v>2024</v>
      </c>
      <c r="B137" s="2" t="s">
        <v>59</v>
      </c>
      <c r="C137" s="2" t="s">
        <v>9</v>
      </c>
      <c r="D137" s="2" t="s">
        <v>162</v>
      </c>
      <c r="E137" s="2" t="s">
        <v>26</v>
      </c>
      <c r="F137" s="3">
        <v>1023350.5820159999</v>
      </c>
      <c r="G137" s="3">
        <v>839</v>
      </c>
      <c r="H137" s="3">
        <v>334</v>
      </c>
      <c r="I137" s="3" t="s">
        <v>253</v>
      </c>
      <c r="J137" s="18">
        <v>762</v>
      </c>
      <c r="K137" s="18">
        <v>1</v>
      </c>
    </row>
    <row r="138" spans="1:11" ht="25.8" x14ac:dyDescent="0.5">
      <c r="A138" s="2">
        <v>2024</v>
      </c>
      <c r="B138" s="2" t="s">
        <v>18</v>
      </c>
      <c r="C138" s="2" t="s">
        <v>9</v>
      </c>
      <c r="D138" s="2" t="s">
        <v>163</v>
      </c>
      <c r="E138" s="2" t="s">
        <v>35</v>
      </c>
      <c r="F138" s="3">
        <v>1026840.1812480001</v>
      </c>
      <c r="G138" s="3">
        <v>784</v>
      </c>
      <c r="H138" s="3">
        <v>540</v>
      </c>
      <c r="I138" s="3" t="s">
        <v>254</v>
      </c>
      <c r="J138" s="18">
        <v>1225</v>
      </c>
      <c r="K138" s="18">
        <v>1</v>
      </c>
    </row>
    <row r="139" spans="1:11" ht="25.8" x14ac:dyDescent="0.5">
      <c r="A139" s="2">
        <v>2024</v>
      </c>
      <c r="B139" s="2" t="s">
        <v>27</v>
      </c>
      <c r="C139" s="2" t="s">
        <v>9</v>
      </c>
      <c r="D139" s="2" t="s">
        <v>164</v>
      </c>
      <c r="E139" s="2" t="s">
        <v>35</v>
      </c>
      <c r="F139" s="3">
        <v>1026840.1812480001</v>
      </c>
      <c r="G139" s="3">
        <v>597</v>
      </c>
      <c r="H139" s="3">
        <v>287</v>
      </c>
      <c r="I139" s="3" t="s">
        <v>255</v>
      </c>
      <c r="J139" s="18">
        <v>706</v>
      </c>
      <c r="K139" s="18">
        <v>1</v>
      </c>
    </row>
    <row r="140" spans="1:11" ht="25.8" x14ac:dyDescent="0.5">
      <c r="A140" s="2">
        <v>2024</v>
      </c>
      <c r="B140" s="2" t="s">
        <v>54</v>
      </c>
      <c r="C140" s="2" t="s">
        <v>9</v>
      </c>
      <c r="D140" s="2" t="s">
        <v>165</v>
      </c>
      <c r="E140" s="2" t="s">
        <v>14</v>
      </c>
      <c r="F140" s="3">
        <v>1037624.684544</v>
      </c>
      <c r="G140" s="3">
        <v>413</v>
      </c>
      <c r="H140" s="3">
        <v>930</v>
      </c>
      <c r="I140" s="3" t="s">
        <v>256</v>
      </c>
      <c r="J140" s="18">
        <v>1273</v>
      </c>
      <c r="K140" s="18">
        <v>1</v>
      </c>
    </row>
    <row r="141" spans="1:11" ht="25.8" x14ac:dyDescent="0.5">
      <c r="A141" s="2">
        <v>2024</v>
      </c>
      <c r="B141" s="2" t="s">
        <v>54</v>
      </c>
      <c r="C141" s="2" t="s">
        <v>9</v>
      </c>
      <c r="D141" s="2" t="s">
        <v>166</v>
      </c>
      <c r="E141" s="2" t="s">
        <v>11</v>
      </c>
      <c r="F141" s="3">
        <v>1049283.3415680001</v>
      </c>
      <c r="G141" s="3">
        <v>93</v>
      </c>
      <c r="H141" s="3">
        <v>852</v>
      </c>
      <c r="I141" s="3" t="s">
        <v>257</v>
      </c>
      <c r="J141" s="18">
        <v>1686</v>
      </c>
      <c r="K141" s="18">
        <v>1</v>
      </c>
    </row>
    <row r="142" spans="1:11" ht="25.8" x14ac:dyDescent="0.5">
      <c r="A142" s="2">
        <v>2024</v>
      </c>
      <c r="B142" s="2" t="s">
        <v>27</v>
      </c>
      <c r="C142" s="2" t="s">
        <v>9</v>
      </c>
      <c r="D142" s="2" t="s">
        <v>167</v>
      </c>
      <c r="E142" s="2" t="s">
        <v>14</v>
      </c>
      <c r="F142" s="3">
        <v>1079732.7959040001</v>
      </c>
      <c r="G142" s="3">
        <v>210</v>
      </c>
      <c r="H142" s="3">
        <v>177</v>
      </c>
      <c r="I142" s="3" t="s">
        <v>258</v>
      </c>
      <c r="J142" s="18">
        <v>391</v>
      </c>
      <c r="K142" s="18">
        <v>1</v>
      </c>
    </row>
    <row r="143" spans="1:11" ht="25.8" x14ac:dyDescent="0.5">
      <c r="A143" s="2">
        <v>2024</v>
      </c>
      <c r="B143" s="2" t="s">
        <v>12</v>
      </c>
      <c r="C143" s="2" t="s">
        <v>9</v>
      </c>
      <c r="D143" s="2" t="s">
        <v>168</v>
      </c>
      <c r="E143" s="2" t="s">
        <v>11</v>
      </c>
      <c r="F143" s="3">
        <v>1100353.28256</v>
      </c>
      <c r="G143" s="3">
        <v>930</v>
      </c>
      <c r="H143" s="3">
        <v>563</v>
      </c>
      <c r="I143" s="3" t="s">
        <v>259</v>
      </c>
      <c r="J143" s="18">
        <v>1163</v>
      </c>
      <c r="K143" s="18">
        <v>1</v>
      </c>
    </row>
    <row r="144" spans="1:11" ht="25.8" x14ac:dyDescent="0.5">
      <c r="A144" s="2">
        <v>2024</v>
      </c>
      <c r="B144" s="2" t="s">
        <v>12</v>
      </c>
      <c r="C144" s="2" t="s">
        <v>9</v>
      </c>
      <c r="D144" s="2" t="s">
        <v>169</v>
      </c>
      <c r="E144" s="2" t="s">
        <v>22</v>
      </c>
      <c r="F144" s="3">
        <v>1106395.1861759999</v>
      </c>
      <c r="G144" s="3">
        <v>839</v>
      </c>
      <c r="H144" s="3">
        <v>983</v>
      </c>
      <c r="I144" s="3" t="s">
        <v>260</v>
      </c>
      <c r="J144" s="18">
        <v>1198</v>
      </c>
      <c r="K144" s="18">
        <v>1</v>
      </c>
    </row>
    <row r="145" spans="1:11" ht="25.8" x14ac:dyDescent="0.5">
      <c r="A145" s="2">
        <v>2024</v>
      </c>
      <c r="B145" s="2" t="s">
        <v>12</v>
      </c>
      <c r="C145" s="2" t="s">
        <v>9</v>
      </c>
      <c r="D145" s="2" t="s">
        <v>170</v>
      </c>
      <c r="E145" s="2" t="s">
        <v>14</v>
      </c>
      <c r="F145" s="3">
        <v>1133839.1232</v>
      </c>
      <c r="G145" s="3">
        <v>413</v>
      </c>
      <c r="H145" s="3">
        <v>930</v>
      </c>
      <c r="I145" s="3" t="s">
        <v>261</v>
      </c>
      <c r="J145" s="18">
        <v>1490</v>
      </c>
      <c r="K145" s="18">
        <v>1</v>
      </c>
    </row>
    <row r="146" spans="1:11" ht="25.8" x14ac:dyDescent="0.5">
      <c r="A146" s="2">
        <v>2024</v>
      </c>
      <c r="B146" s="2" t="s">
        <v>12</v>
      </c>
      <c r="C146" s="2" t="s">
        <v>9</v>
      </c>
      <c r="D146" s="2" t="s">
        <v>171</v>
      </c>
      <c r="E146" s="2" t="s">
        <v>11</v>
      </c>
      <c r="F146" s="3">
        <v>1136465.793792</v>
      </c>
      <c r="G146" s="3">
        <v>210</v>
      </c>
      <c r="H146" s="3">
        <v>177</v>
      </c>
      <c r="I146" s="3" t="s">
        <v>250</v>
      </c>
      <c r="J146" s="18">
        <v>414</v>
      </c>
      <c r="K146" s="18">
        <v>1</v>
      </c>
    </row>
    <row r="147" spans="1:11" ht="25.8" x14ac:dyDescent="0.5">
      <c r="A147" s="2">
        <v>2024</v>
      </c>
      <c r="B147" s="2" t="s">
        <v>12</v>
      </c>
      <c r="C147" s="2" t="s">
        <v>9</v>
      </c>
      <c r="D147" s="2" t="s">
        <v>172</v>
      </c>
      <c r="E147" s="2" t="s">
        <v>26</v>
      </c>
      <c r="F147" s="3">
        <v>1137164.5555199999</v>
      </c>
      <c r="G147" s="3">
        <v>312</v>
      </c>
      <c r="H147" s="3">
        <v>983</v>
      </c>
      <c r="I147" s="3" t="s">
        <v>251</v>
      </c>
      <c r="J147" s="18">
        <v>1520</v>
      </c>
      <c r="K147" s="18">
        <v>1</v>
      </c>
    </row>
    <row r="148" spans="1:11" ht="25.8" x14ac:dyDescent="0.5">
      <c r="A148" s="2">
        <v>2024</v>
      </c>
      <c r="B148" s="2" t="s">
        <v>59</v>
      </c>
      <c r="C148" s="2" t="s">
        <v>9</v>
      </c>
      <c r="D148" s="2" t="s">
        <v>173</v>
      </c>
      <c r="E148" s="2" t="s">
        <v>66</v>
      </c>
      <c r="F148" s="3">
        <v>1137264.178176</v>
      </c>
      <c r="G148" s="3">
        <v>597</v>
      </c>
      <c r="H148" s="3">
        <v>287</v>
      </c>
      <c r="I148" s="3" t="s">
        <v>252</v>
      </c>
      <c r="J148" s="18">
        <v>678</v>
      </c>
      <c r="K148" s="18">
        <v>1</v>
      </c>
    </row>
    <row r="149" spans="1:11" ht="25.8" x14ac:dyDescent="0.5">
      <c r="A149" s="2">
        <v>2024</v>
      </c>
      <c r="B149" s="2" t="s">
        <v>23</v>
      </c>
      <c r="C149" s="2" t="s">
        <v>9</v>
      </c>
      <c r="D149" s="2" t="s">
        <v>24</v>
      </c>
      <c r="E149" s="2" t="s">
        <v>26</v>
      </c>
      <c r="F149" s="3">
        <v>1141402.02624</v>
      </c>
      <c r="G149" s="3">
        <v>692</v>
      </c>
      <c r="H149" s="3">
        <v>300</v>
      </c>
      <c r="I149" s="3" t="s">
        <v>253</v>
      </c>
      <c r="J149" s="18">
        <v>356</v>
      </c>
      <c r="K149" s="18">
        <v>1</v>
      </c>
    </row>
    <row r="150" spans="1:11" ht="25.8" x14ac:dyDescent="0.5">
      <c r="A150" s="2">
        <v>2024</v>
      </c>
      <c r="B150" s="2" t="s">
        <v>27</v>
      </c>
      <c r="C150" s="2" t="s">
        <v>9</v>
      </c>
      <c r="D150" s="2" t="s">
        <v>170</v>
      </c>
      <c r="E150" s="2" t="s">
        <v>26</v>
      </c>
      <c r="F150" s="3">
        <v>1159202.2095359999</v>
      </c>
      <c r="G150" s="3">
        <v>839</v>
      </c>
      <c r="H150" s="3">
        <v>983</v>
      </c>
      <c r="I150" s="3" t="s">
        <v>254</v>
      </c>
      <c r="J150" s="18">
        <v>1092</v>
      </c>
      <c r="K150" s="18">
        <v>1</v>
      </c>
    </row>
    <row r="151" spans="1:11" ht="25.8" x14ac:dyDescent="0.5">
      <c r="A151" s="2">
        <v>2024</v>
      </c>
      <c r="B151" s="2" t="s">
        <v>15</v>
      </c>
      <c r="C151" s="2" t="s">
        <v>9</v>
      </c>
      <c r="D151" s="2" t="s">
        <v>82</v>
      </c>
      <c r="E151" s="2" t="s">
        <v>38</v>
      </c>
      <c r="F151" s="3">
        <v>1163697.8572799999</v>
      </c>
      <c r="G151" s="3">
        <v>577</v>
      </c>
      <c r="H151" s="3">
        <v>175</v>
      </c>
      <c r="I151" s="3" t="s">
        <v>255</v>
      </c>
      <c r="J151" s="18">
        <v>354</v>
      </c>
      <c r="K151" s="18">
        <v>1</v>
      </c>
    </row>
    <row r="152" spans="1:11" ht="25.8" x14ac:dyDescent="0.5">
      <c r="A152" s="2">
        <v>2024</v>
      </c>
      <c r="B152" s="2" t="s">
        <v>18</v>
      </c>
      <c r="C152" s="2" t="s">
        <v>9</v>
      </c>
      <c r="D152" s="2" t="s">
        <v>133</v>
      </c>
      <c r="E152" s="2" t="s">
        <v>20</v>
      </c>
      <c r="F152" s="3">
        <v>1172200.8614400001</v>
      </c>
      <c r="G152" s="3">
        <v>784</v>
      </c>
      <c r="H152" s="3">
        <v>540</v>
      </c>
      <c r="I152" s="3" t="s">
        <v>256</v>
      </c>
      <c r="J152" s="18">
        <v>805</v>
      </c>
      <c r="K152" s="18">
        <v>1</v>
      </c>
    </row>
    <row r="153" spans="1:11" ht="25.8" x14ac:dyDescent="0.5">
      <c r="A153" s="2">
        <v>2024</v>
      </c>
      <c r="B153" s="2" t="s">
        <v>29</v>
      </c>
      <c r="C153" s="2" t="s">
        <v>9</v>
      </c>
      <c r="D153" s="2" t="s">
        <v>159</v>
      </c>
      <c r="E153" s="2" t="s">
        <v>38</v>
      </c>
      <c r="F153" s="3">
        <v>1174103.513856</v>
      </c>
      <c r="G153" s="3">
        <v>839</v>
      </c>
      <c r="H153" s="3">
        <v>334</v>
      </c>
      <c r="I153" s="3" t="s">
        <v>257</v>
      </c>
      <c r="J153" s="18">
        <v>727</v>
      </c>
      <c r="K153" s="18">
        <v>1</v>
      </c>
    </row>
    <row r="154" spans="1:11" ht="25.8" x14ac:dyDescent="0.5">
      <c r="A154" s="2">
        <v>2024</v>
      </c>
      <c r="B154" s="2" t="s">
        <v>18</v>
      </c>
      <c r="C154" s="2" t="s">
        <v>9</v>
      </c>
      <c r="D154" s="2" t="s">
        <v>142</v>
      </c>
      <c r="E154" s="2" t="s">
        <v>14</v>
      </c>
      <c r="F154" s="3">
        <v>1178975.2020480002</v>
      </c>
      <c r="G154" s="3">
        <v>577</v>
      </c>
      <c r="H154" s="3">
        <v>175</v>
      </c>
      <c r="I154" s="3" t="s">
        <v>258</v>
      </c>
      <c r="J154" s="18">
        <v>282</v>
      </c>
      <c r="K154" s="18">
        <v>1</v>
      </c>
    </row>
    <row r="155" spans="1:11" ht="25.8" x14ac:dyDescent="0.5">
      <c r="A155" s="2">
        <v>2024</v>
      </c>
      <c r="B155" s="2" t="s">
        <v>50</v>
      </c>
      <c r="C155" s="2" t="s">
        <v>9</v>
      </c>
      <c r="D155" s="2" t="s">
        <v>174</v>
      </c>
      <c r="E155" s="2" t="s">
        <v>38</v>
      </c>
      <c r="F155" s="3">
        <v>1189320.5237759999</v>
      </c>
      <c r="G155" s="3">
        <v>287</v>
      </c>
      <c r="H155" s="3">
        <v>744</v>
      </c>
      <c r="I155" s="3" t="s">
        <v>259</v>
      </c>
      <c r="J155" s="18">
        <v>1585</v>
      </c>
      <c r="K155" s="18">
        <v>1</v>
      </c>
    </row>
    <row r="156" spans="1:11" ht="25.8" x14ac:dyDescent="0.5">
      <c r="A156" s="2">
        <v>2024</v>
      </c>
      <c r="B156" s="2" t="s">
        <v>54</v>
      </c>
      <c r="C156" s="2" t="s">
        <v>9</v>
      </c>
      <c r="D156" s="2" t="s">
        <v>113</v>
      </c>
      <c r="E156" s="2" t="s">
        <v>66</v>
      </c>
      <c r="F156" s="3">
        <v>1192630.5216000001</v>
      </c>
      <c r="G156" s="3">
        <v>568</v>
      </c>
      <c r="H156" s="3">
        <v>505</v>
      </c>
      <c r="I156" s="3" t="s">
        <v>260</v>
      </c>
      <c r="J156" s="18">
        <v>1078</v>
      </c>
      <c r="K156" s="18">
        <v>1</v>
      </c>
    </row>
    <row r="157" spans="1:11" ht="25.8" x14ac:dyDescent="0.5">
      <c r="A157" s="2">
        <v>2024</v>
      </c>
      <c r="B157" s="2" t="s">
        <v>27</v>
      </c>
      <c r="C157" s="2" t="s">
        <v>9</v>
      </c>
      <c r="D157" s="2" t="s">
        <v>175</v>
      </c>
      <c r="E157" s="2" t="s">
        <v>26</v>
      </c>
      <c r="F157" s="3">
        <v>1195874.5720319999</v>
      </c>
      <c r="G157" s="3">
        <v>168</v>
      </c>
      <c r="H157" s="3">
        <v>97</v>
      </c>
      <c r="I157" s="3" t="s">
        <v>261</v>
      </c>
      <c r="J157" s="18">
        <v>171</v>
      </c>
      <c r="K157" s="18">
        <v>1</v>
      </c>
    </row>
    <row r="158" spans="1:11" ht="25.8" x14ac:dyDescent="0.5">
      <c r="A158" s="2">
        <v>2024</v>
      </c>
      <c r="B158" s="2" t="s">
        <v>18</v>
      </c>
      <c r="C158" s="2" t="s">
        <v>9</v>
      </c>
      <c r="D158" s="2" t="s">
        <v>106</v>
      </c>
      <c r="E158" s="2" t="s">
        <v>17</v>
      </c>
      <c r="F158" s="3">
        <v>1208650.125312</v>
      </c>
      <c r="G158" s="3">
        <v>784</v>
      </c>
      <c r="H158" s="3">
        <v>540</v>
      </c>
      <c r="I158" s="3" t="s">
        <v>250</v>
      </c>
      <c r="J158" s="18">
        <v>783</v>
      </c>
      <c r="K158" s="18">
        <v>1</v>
      </c>
    </row>
    <row r="159" spans="1:11" ht="25.8" x14ac:dyDescent="0.5">
      <c r="A159" s="2">
        <v>2024</v>
      </c>
      <c r="B159" s="2" t="s">
        <v>27</v>
      </c>
      <c r="C159" s="2" t="s">
        <v>9</v>
      </c>
      <c r="D159" s="2" t="s">
        <v>174</v>
      </c>
      <c r="E159" s="2" t="s">
        <v>22</v>
      </c>
      <c r="F159" s="3">
        <v>1210429.3017599999</v>
      </c>
      <c r="G159" s="3">
        <v>968</v>
      </c>
      <c r="H159" s="3">
        <v>330</v>
      </c>
      <c r="I159" s="3" t="s">
        <v>251</v>
      </c>
      <c r="J159" s="18">
        <v>585</v>
      </c>
      <c r="K159" s="18">
        <v>1</v>
      </c>
    </row>
    <row r="160" spans="1:11" ht="25.8" x14ac:dyDescent="0.5">
      <c r="A160" s="2">
        <v>2024</v>
      </c>
      <c r="B160" s="2" t="s">
        <v>12</v>
      </c>
      <c r="C160" s="2" t="s">
        <v>9</v>
      </c>
      <c r="D160" s="2" t="s">
        <v>72</v>
      </c>
      <c r="E160" s="2" t="s">
        <v>17</v>
      </c>
      <c r="F160" s="3">
        <v>1218282.653952</v>
      </c>
      <c r="G160" s="3">
        <v>872</v>
      </c>
      <c r="H160" s="3">
        <v>249</v>
      </c>
      <c r="I160" s="3" t="s">
        <v>252</v>
      </c>
      <c r="J160" s="18">
        <v>347</v>
      </c>
      <c r="K160" s="18">
        <v>1</v>
      </c>
    </row>
    <row r="161" spans="1:11" ht="25.8" x14ac:dyDescent="0.5">
      <c r="A161" s="2">
        <v>2024</v>
      </c>
      <c r="B161" s="2" t="s">
        <v>23</v>
      </c>
      <c r="C161" s="2" t="s">
        <v>9</v>
      </c>
      <c r="D161" s="2" t="s">
        <v>176</v>
      </c>
      <c r="E161" s="2" t="s">
        <v>17</v>
      </c>
      <c r="F161" s="3">
        <v>1218693.7728000002</v>
      </c>
      <c r="G161" s="3">
        <v>795</v>
      </c>
      <c r="H161" s="3">
        <v>469</v>
      </c>
      <c r="I161" s="3" t="s">
        <v>253</v>
      </c>
      <c r="J161" s="18">
        <v>722</v>
      </c>
      <c r="K161" s="18">
        <v>1</v>
      </c>
    </row>
    <row r="162" spans="1:11" ht="25.8" x14ac:dyDescent="0.5">
      <c r="A162" s="2">
        <v>2024</v>
      </c>
      <c r="B162" s="2" t="s">
        <v>18</v>
      </c>
      <c r="C162" s="2" t="s">
        <v>9</v>
      </c>
      <c r="D162" s="2" t="s">
        <v>158</v>
      </c>
      <c r="E162" s="2" t="s">
        <v>35</v>
      </c>
      <c r="F162" s="3">
        <v>1218693.7728000002</v>
      </c>
      <c r="G162" s="3">
        <v>872</v>
      </c>
      <c r="H162" s="3">
        <v>249</v>
      </c>
      <c r="I162" s="3" t="s">
        <v>254</v>
      </c>
      <c r="J162" s="18">
        <v>573</v>
      </c>
      <c r="K162" s="18">
        <v>1</v>
      </c>
    </row>
    <row r="163" spans="1:11" ht="25.8" x14ac:dyDescent="0.5">
      <c r="A163" s="2">
        <v>2024</v>
      </c>
      <c r="B163" s="2" t="s">
        <v>27</v>
      </c>
      <c r="C163" s="2" t="s">
        <v>9</v>
      </c>
      <c r="D163" s="2" t="s">
        <v>138</v>
      </c>
      <c r="E163" s="2" t="s">
        <v>26</v>
      </c>
      <c r="F163" s="3">
        <v>1219204.514304</v>
      </c>
      <c r="G163" s="3">
        <v>610</v>
      </c>
      <c r="H163" s="3">
        <v>970</v>
      </c>
      <c r="I163" s="3" t="s">
        <v>255</v>
      </c>
      <c r="J163" s="18">
        <v>1289</v>
      </c>
      <c r="K163" s="18">
        <v>1</v>
      </c>
    </row>
    <row r="164" spans="1:11" ht="25.8" x14ac:dyDescent="0.5">
      <c r="A164" s="2">
        <v>2024</v>
      </c>
      <c r="B164" s="2" t="s">
        <v>12</v>
      </c>
      <c r="C164" s="2" t="s">
        <v>9</v>
      </c>
      <c r="D164" s="2" t="s">
        <v>108</v>
      </c>
      <c r="E164" s="2" t="s">
        <v>66</v>
      </c>
      <c r="F164" s="3">
        <v>1229774.337792</v>
      </c>
      <c r="G164" s="3">
        <v>403</v>
      </c>
      <c r="H164" s="3">
        <v>953</v>
      </c>
      <c r="I164" s="3" t="s">
        <v>256</v>
      </c>
      <c r="J164" s="18">
        <v>2304</v>
      </c>
      <c r="K164" s="18">
        <v>1</v>
      </c>
    </row>
    <row r="165" spans="1:11" ht="25.8" x14ac:dyDescent="0.5">
      <c r="A165" s="2">
        <v>2024</v>
      </c>
      <c r="B165" s="2" t="s">
        <v>50</v>
      </c>
      <c r="C165" s="2" t="s">
        <v>9</v>
      </c>
      <c r="D165" s="2" t="s">
        <v>177</v>
      </c>
      <c r="E165" s="2" t="s">
        <v>22</v>
      </c>
      <c r="F165" s="3">
        <v>1237760.9879040001</v>
      </c>
      <c r="G165" s="3">
        <v>968</v>
      </c>
      <c r="H165" s="3">
        <v>330</v>
      </c>
      <c r="I165" s="3" t="s">
        <v>257</v>
      </c>
      <c r="J165" s="18">
        <v>820</v>
      </c>
      <c r="K165" s="18">
        <v>1</v>
      </c>
    </row>
    <row r="166" spans="1:11" ht="25.8" x14ac:dyDescent="0.5">
      <c r="A166" s="2">
        <v>2024</v>
      </c>
      <c r="B166" s="2" t="s">
        <v>27</v>
      </c>
      <c r="C166" s="2" t="s">
        <v>9</v>
      </c>
      <c r="D166" s="2" t="s">
        <v>178</v>
      </c>
      <c r="E166" s="2" t="s">
        <v>14</v>
      </c>
      <c r="F166" s="3">
        <v>1254135.5850239999</v>
      </c>
      <c r="G166" s="3">
        <v>839</v>
      </c>
      <c r="H166" s="3">
        <v>983</v>
      </c>
      <c r="I166" s="3" t="s">
        <v>258</v>
      </c>
      <c r="J166" s="18">
        <v>1980</v>
      </c>
      <c r="K166" s="18">
        <v>1</v>
      </c>
    </row>
    <row r="167" spans="1:11" ht="25.8" x14ac:dyDescent="0.5">
      <c r="A167" s="2">
        <v>2024</v>
      </c>
      <c r="B167" s="2" t="s">
        <v>12</v>
      </c>
      <c r="C167" s="2" t="s">
        <v>9</v>
      </c>
      <c r="D167" s="2" t="s">
        <v>99</v>
      </c>
      <c r="E167" s="2" t="s">
        <v>11</v>
      </c>
      <c r="F167" s="3">
        <v>1255155.6648959999</v>
      </c>
      <c r="G167" s="3">
        <v>168</v>
      </c>
      <c r="H167" s="3">
        <v>97</v>
      </c>
      <c r="I167" s="3" t="s">
        <v>259</v>
      </c>
      <c r="J167" s="18">
        <v>138</v>
      </c>
      <c r="K167" s="18">
        <v>1</v>
      </c>
    </row>
    <row r="168" spans="1:11" ht="25.8" x14ac:dyDescent="0.5">
      <c r="A168" s="2">
        <v>2024</v>
      </c>
      <c r="B168" s="2" t="s">
        <v>27</v>
      </c>
      <c r="C168" s="2" t="s">
        <v>9</v>
      </c>
      <c r="D168" s="2" t="s">
        <v>177</v>
      </c>
      <c r="E168" s="2" t="s">
        <v>66</v>
      </c>
      <c r="F168" s="3">
        <v>1277043.1833599999</v>
      </c>
      <c r="G168" s="3">
        <v>312</v>
      </c>
      <c r="H168" s="3">
        <v>983</v>
      </c>
      <c r="I168" s="3" t="s">
        <v>260</v>
      </c>
      <c r="J168" s="18">
        <v>2055</v>
      </c>
      <c r="K168" s="18">
        <v>1</v>
      </c>
    </row>
    <row r="169" spans="1:11" ht="25.8" x14ac:dyDescent="0.5">
      <c r="A169" s="2">
        <v>2024</v>
      </c>
      <c r="B169" s="2" t="s">
        <v>27</v>
      </c>
      <c r="C169" s="2" t="s">
        <v>9</v>
      </c>
      <c r="D169" s="2" t="s">
        <v>177</v>
      </c>
      <c r="E169" s="2" t="s">
        <v>66</v>
      </c>
      <c r="F169" s="3">
        <v>1277043.1833599999</v>
      </c>
      <c r="G169" s="3">
        <v>312</v>
      </c>
      <c r="H169" s="3">
        <v>983</v>
      </c>
      <c r="I169" s="3" t="s">
        <v>261</v>
      </c>
      <c r="J169" s="18">
        <v>2130</v>
      </c>
      <c r="K169" s="18">
        <v>1</v>
      </c>
    </row>
    <row r="170" spans="1:11" ht="25.8" x14ac:dyDescent="0.5">
      <c r="A170" s="2">
        <v>2024</v>
      </c>
      <c r="B170" s="2" t="s">
        <v>27</v>
      </c>
      <c r="C170" s="2" t="s">
        <v>9</v>
      </c>
      <c r="D170" s="2" t="s">
        <v>177</v>
      </c>
      <c r="E170" s="2" t="s">
        <v>66</v>
      </c>
      <c r="F170" s="3">
        <v>1277043.1833599999</v>
      </c>
      <c r="G170" s="3">
        <v>312</v>
      </c>
      <c r="H170" s="3">
        <v>983</v>
      </c>
      <c r="I170" s="3" t="s">
        <v>250</v>
      </c>
      <c r="J170" s="18">
        <v>2020</v>
      </c>
      <c r="K170" s="18">
        <v>1</v>
      </c>
    </row>
    <row r="171" spans="1:11" ht="25.8" x14ac:dyDescent="0.5">
      <c r="A171" s="2">
        <v>2024</v>
      </c>
      <c r="B171" s="2" t="s">
        <v>27</v>
      </c>
      <c r="C171" s="2" t="s">
        <v>9</v>
      </c>
      <c r="D171" s="2" t="s">
        <v>177</v>
      </c>
      <c r="E171" s="2" t="s">
        <v>66</v>
      </c>
      <c r="F171" s="3">
        <v>1277043.1833599999</v>
      </c>
      <c r="G171" s="3">
        <v>312</v>
      </c>
      <c r="H171" s="3">
        <v>983</v>
      </c>
      <c r="I171" s="3" t="s">
        <v>251</v>
      </c>
      <c r="J171" s="18">
        <v>2067</v>
      </c>
      <c r="K171" s="18">
        <v>1</v>
      </c>
    </row>
    <row r="172" spans="1:11" ht="25.8" x14ac:dyDescent="0.5">
      <c r="A172" s="2">
        <v>2024</v>
      </c>
      <c r="B172" s="2" t="s">
        <v>27</v>
      </c>
      <c r="C172" s="2" t="s">
        <v>9</v>
      </c>
      <c r="D172" s="2" t="s">
        <v>177</v>
      </c>
      <c r="E172" s="2" t="s">
        <v>66</v>
      </c>
      <c r="F172" s="3">
        <v>1277043.1833599999</v>
      </c>
      <c r="G172" s="3">
        <v>312</v>
      </c>
      <c r="H172" s="3">
        <v>983</v>
      </c>
      <c r="I172" s="3" t="s">
        <v>252</v>
      </c>
      <c r="J172" s="18">
        <v>1462</v>
      </c>
      <c r="K172" s="18">
        <v>1</v>
      </c>
    </row>
    <row r="173" spans="1:11" ht="25.8" x14ac:dyDescent="0.5">
      <c r="A173" s="2">
        <v>2024</v>
      </c>
      <c r="B173" s="2" t="s">
        <v>18</v>
      </c>
      <c r="C173" s="2" t="s">
        <v>9</v>
      </c>
      <c r="D173" s="2" t="s">
        <v>47</v>
      </c>
      <c r="E173" s="2" t="s">
        <v>11</v>
      </c>
      <c r="F173" s="3">
        <v>1287305.720064</v>
      </c>
      <c r="G173" s="3">
        <v>403</v>
      </c>
      <c r="H173" s="3">
        <v>953</v>
      </c>
      <c r="I173" s="3" t="s">
        <v>253</v>
      </c>
      <c r="J173" s="18">
        <v>2088</v>
      </c>
      <c r="K173" s="18">
        <v>1</v>
      </c>
    </row>
    <row r="174" spans="1:11" ht="25.8" x14ac:dyDescent="0.5">
      <c r="A174" s="2">
        <v>2024</v>
      </c>
      <c r="B174" s="2" t="s">
        <v>29</v>
      </c>
      <c r="C174" s="2" t="s">
        <v>9</v>
      </c>
      <c r="D174" s="2" t="s">
        <v>127</v>
      </c>
      <c r="E174" s="2" t="s">
        <v>66</v>
      </c>
      <c r="F174" s="3">
        <v>1290034.8195840002</v>
      </c>
      <c r="G174" s="3">
        <v>930</v>
      </c>
      <c r="H174" s="3">
        <v>563</v>
      </c>
      <c r="I174" s="3" t="s">
        <v>254</v>
      </c>
      <c r="J174" s="18">
        <v>1214</v>
      </c>
      <c r="K174" s="18">
        <v>1</v>
      </c>
    </row>
    <row r="175" spans="1:11" ht="25.8" x14ac:dyDescent="0.5">
      <c r="A175" s="2">
        <v>2024</v>
      </c>
      <c r="B175" s="2" t="s">
        <v>18</v>
      </c>
      <c r="C175" s="2" t="s">
        <v>9</v>
      </c>
      <c r="D175" s="2" t="s">
        <v>124</v>
      </c>
      <c r="E175" s="2" t="s">
        <v>20</v>
      </c>
      <c r="F175" s="3">
        <v>1291950.1002239999</v>
      </c>
      <c r="G175" s="3">
        <v>568</v>
      </c>
      <c r="H175" s="3">
        <v>505</v>
      </c>
      <c r="I175" s="3" t="s">
        <v>255</v>
      </c>
      <c r="J175" s="18">
        <v>1144</v>
      </c>
      <c r="K175" s="18">
        <v>1</v>
      </c>
    </row>
    <row r="176" spans="1:11" ht="25.8" x14ac:dyDescent="0.5">
      <c r="A176" s="2">
        <v>2024</v>
      </c>
      <c r="B176" s="2" t="s">
        <v>27</v>
      </c>
      <c r="C176" s="2" t="s">
        <v>9</v>
      </c>
      <c r="D176" s="2" t="s">
        <v>179</v>
      </c>
      <c r="E176" s="2" t="s">
        <v>26</v>
      </c>
      <c r="F176" s="3">
        <v>1293695.6014080001</v>
      </c>
      <c r="G176" s="3">
        <v>168</v>
      </c>
      <c r="H176" s="3">
        <v>97</v>
      </c>
      <c r="I176" s="3" t="s">
        <v>256</v>
      </c>
      <c r="J176" s="18">
        <v>111</v>
      </c>
      <c r="K176" s="18">
        <v>1</v>
      </c>
    </row>
    <row r="177" spans="1:11" ht="25.8" x14ac:dyDescent="0.5">
      <c r="A177" s="2">
        <v>2024</v>
      </c>
      <c r="B177" s="2" t="s">
        <v>18</v>
      </c>
      <c r="C177" s="2" t="s">
        <v>9</v>
      </c>
      <c r="D177" s="2" t="s">
        <v>178</v>
      </c>
      <c r="E177" s="2" t="s">
        <v>14</v>
      </c>
      <c r="F177" s="3">
        <v>1308476.236032</v>
      </c>
      <c r="G177" s="3">
        <v>568</v>
      </c>
      <c r="H177" s="3">
        <v>505</v>
      </c>
      <c r="I177" s="3" t="s">
        <v>257</v>
      </c>
      <c r="J177" s="18">
        <v>1112</v>
      </c>
      <c r="K177" s="18">
        <v>1</v>
      </c>
    </row>
    <row r="178" spans="1:11" ht="25.8" x14ac:dyDescent="0.5">
      <c r="A178" s="2">
        <v>2024</v>
      </c>
      <c r="B178" s="2" t="s">
        <v>50</v>
      </c>
      <c r="C178" s="2" t="s">
        <v>9</v>
      </c>
      <c r="D178" s="2" t="s">
        <v>180</v>
      </c>
      <c r="E178" s="2" t="s">
        <v>20</v>
      </c>
      <c r="F178" s="3">
        <v>1322022.1109759999</v>
      </c>
      <c r="G178" s="3">
        <v>839</v>
      </c>
      <c r="H178" s="3">
        <v>983</v>
      </c>
      <c r="I178" s="3" t="s">
        <v>258</v>
      </c>
      <c r="J178" s="18">
        <v>2047</v>
      </c>
      <c r="K178" s="18">
        <v>1</v>
      </c>
    </row>
    <row r="179" spans="1:11" ht="25.8" x14ac:dyDescent="0.5">
      <c r="A179" s="2">
        <v>2024</v>
      </c>
      <c r="B179" s="2" t="s">
        <v>15</v>
      </c>
      <c r="C179" s="2" t="s">
        <v>9</v>
      </c>
      <c r="D179" s="2" t="s">
        <v>173</v>
      </c>
      <c r="E179" s="2" t="s">
        <v>35</v>
      </c>
      <c r="F179" s="3">
        <v>1340766.6048000001</v>
      </c>
      <c r="G179" s="3">
        <v>597</v>
      </c>
      <c r="H179" s="3">
        <v>287</v>
      </c>
      <c r="I179" s="3" t="s">
        <v>259</v>
      </c>
      <c r="J179" s="18">
        <v>660</v>
      </c>
      <c r="K179" s="18">
        <v>1</v>
      </c>
    </row>
    <row r="180" spans="1:11" ht="25.8" x14ac:dyDescent="0.5">
      <c r="A180" s="2">
        <v>2024</v>
      </c>
      <c r="B180" s="2" t="s">
        <v>15</v>
      </c>
      <c r="C180" s="2" t="s">
        <v>9</v>
      </c>
      <c r="D180" s="2" t="s">
        <v>181</v>
      </c>
      <c r="E180" s="2" t="s">
        <v>35</v>
      </c>
      <c r="F180" s="3">
        <v>1368522.0380160001</v>
      </c>
      <c r="G180" s="3">
        <v>312</v>
      </c>
      <c r="H180" s="3">
        <v>983</v>
      </c>
      <c r="I180" s="3" t="s">
        <v>260</v>
      </c>
      <c r="J180" s="18">
        <v>2415</v>
      </c>
      <c r="K180" s="18">
        <v>1</v>
      </c>
    </row>
    <row r="181" spans="1:11" ht="25.8" x14ac:dyDescent="0.5">
      <c r="A181" s="2">
        <v>2024</v>
      </c>
      <c r="B181" s="2" t="s">
        <v>8</v>
      </c>
      <c r="C181" s="2" t="s">
        <v>9</v>
      </c>
      <c r="D181" s="2" t="s">
        <v>182</v>
      </c>
      <c r="E181" s="2" t="s">
        <v>35</v>
      </c>
      <c r="F181" s="3">
        <v>1368948.59136</v>
      </c>
      <c r="G181" s="3">
        <v>577</v>
      </c>
      <c r="H181" s="3">
        <v>175</v>
      </c>
      <c r="I181" s="3" t="s">
        <v>261</v>
      </c>
      <c r="J181" s="18">
        <v>359</v>
      </c>
      <c r="K181" s="18">
        <v>1</v>
      </c>
    </row>
    <row r="182" spans="1:11" ht="25.8" x14ac:dyDescent="0.5">
      <c r="A182" s="2">
        <v>2024</v>
      </c>
      <c r="B182" s="2" t="s">
        <v>50</v>
      </c>
      <c r="C182" s="2" t="s">
        <v>9</v>
      </c>
      <c r="D182" s="2" t="s">
        <v>113</v>
      </c>
      <c r="E182" s="2" t="s">
        <v>17</v>
      </c>
      <c r="F182" s="3">
        <v>1380748.9651199998</v>
      </c>
      <c r="G182" s="3">
        <v>795</v>
      </c>
      <c r="H182" s="3">
        <v>469</v>
      </c>
      <c r="I182" s="3" t="s">
        <v>250</v>
      </c>
      <c r="J182" s="18">
        <v>1052</v>
      </c>
      <c r="K182" s="18">
        <v>1</v>
      </c>
    </row>
    <row r="183" spans="1:11" ht="25.8" x14ac:dyDescent="0.5">
      <c r="A183" s="2">
        <v>2024</v>
      </c>
      <c r="B183" s="2" t="s">
        <v>59</v>
      </c>
      <c r="C183" s="2" t="s">
        <v>9</v>
      </c>
      <c r="D183" s="2" t="s">
        <v>91</v>
      </c>
      <c r="E183" s="2" t="s">
        <v>26</v>
      </c>
      <c r="F183" s="3">
        <v>1380748.9651199998</v>
      </c>
      <c r="G183" s="3">
        <v>168</v>
      </c>
      <c r="H183" s="3">
        <v>97</v>
      </c>
      <c r="I183" s="3" t="s">
        <v>251</v>
      </c>
      <c r="J183" s="18">
        <v>239</v>
      </c>
      <c r="K183" s="18">
        <v>1</v>
      </c>
    </row>
    <row r="184" spans="1:11" ht="25.8" x14ac:dyDescent="0.5">
      <c r="A184" s="2">
        <v>2024</v>
      </c>
      <c r="B184" s="2" t="s">
        <v>29</v>
      </c>
      <c r="C184" s="2" t="s">
        <v>9</v>
      </c>
      <c r="D184" s="2" t="s">
        <v>176</v>
      </c>
      <c r="E184" s="2" t="s">
        <v>26</v>
      </c>
      <c r="F184" s="3">
        <v>1380748.9651199998</v>
      </c>
      <c r="G184" s="3">
        <v>872</v>
      </c>
      <c r="H184" s="3">
        <v>249</v>
      </c>
      <c r="I184" s="3" t="s">
        <v>252</v>
      </c>
      <c r="J184" s="18">
        <v>462</v>
      </c>
      <c r="K184" s="18">
        <v>1</v>
      </c>
    </row>
    <row r="185" spans="1:11" ht="25.8" x14ac:dyDescent="0.5">
      <c r="A185" s="2">
        <v>2024</v>
      </c>
      <c r="B185" s="2" t="s">
        <v>59</v>
      </c>
      <c r="C185" s="2" t="s">
        <v>9</v>
      </c>
      <c r="D185" s="2" t="s">
        <v>47</v>
      </c>
      <c r="E185" s="2" t="s">
        <v>26</v>
      </c>
      <c r="F185" s="3">
        <v>1380748.9651199998</v>
      </c>
      <c r="G185" s="3">
        <v>210</v>
      </c>
      <c r="H185" s="3">
        <v>177</v>
      </c>
      <c r="I185" s="3" t="s">
        <v>253</v>
      </c>
      <c r="J185" s="18">
        <v>237</v>
      </c>
      <c r="K185" s="18">
        <v>1</v>
      </c>
    </row>
    <row r="186" spans="1:11" ht="25.8" x14ac:dyDescent="0.5">
      <c r="A186" s="2">
        <v>2024</v>
      </c>
      <c r="B186" s="2" t="s">
        <v>8</v>
      </c>
      <c r="C186" s="2" t="s">
        <v>9</v>
      </c>
      <c r="D186" s="2" t="s">
        <v>106</v>
      </c>
      <c r="E186" s="2" t="s">
        <v>35</v>
      </c>
      <c r="F186" s="3">
        <v>1380748.9651199998</v>
      </c>
      <c r="G186" s="3">
        <v>872</v>
      </c>
      <c r="H186" s="3">
        <v>249</v>
      </c>
      <c r="I186" s="3" t="s">
        <v>254</v>
      </c>
      <c r="J186" s="18">
        <v>320</v>
      </c>
      <c r="K186" s="18">
        <v>1</v>
      </c>
    </row>
    <row r="187" spans="1:11" ht="25.8" x14ac:dyDescent="0.5">
      <c r="A187" s="2">
        <v>2024</v>
      </c>
      <c r="B187" s="2" t="s">
        <v>50</v>
      </c>
      <c r="C187" s="2" t="s">
        <v>9</v>
      </c>
      <c r="D187" s="2" t="s">
        <v>159</v>
      </c>
      <c r="E187" s="2" t="s">
        <v>35</v>
      </c>
      <c r="F187" s="3">
        <v>1380748.9651199998</v>
      </c>
      <c r="G187" s="3">
        <v>568</v>
      </c>
      <c r="H187" s="3">
        <v>505</v>
      </c>
      <c r="I187" s="3" t="s">
        <v>255</v>
      </c>
      <c r="J187" s="18">
        <v>953</v>
      </c>
      <c r="K187" s="18">
        <v>1</v>
      </c>
    </row>
    <row r="188" spans="1:11" ht="25.8" x14ac:dyDescent="0.5">
      <c r="A188" s="2">
        <v>2024</v>
      </c>
      <c r="B188" s="2" t="s">
        <v>18</v>
      </c>
      <c r="C188" s="2" t="s">
        <v>9</v>
      </c>
      <c r="D188" s="2" t="s">
        <v>181</v>
      </c>
      <c r="E188" s="2" t="s">
        <v>35</v>
      </c>
      <c r="F188" s="3">
        <v>1380748.9651199998</v>
      </c>
      <c r="G188" s="3">
        <v>930</v>
      </c>
      <c r="H188" s="3">
        <v>563</v>
      </c>
      <c r="I188" s="3" t="s">
        <v>256</v>
      </c>
      <c r="J188" s="18">
        <v>1197</v>
      </c>
      <c r="K188" s="18">
        <v>1</v>
      </c>
    </row>
    <row r="189" spans="1:11" ht="25.8" x14ac:dyDescent="0.5">
      <c r="A189" s="2">
        <v>2024</v>
      </c>
      <c r="B189" s="2" t="s">
        <v>23</v>
      </c>
      <c r="C189" s="2" t="s">
        <v>9</v>
      </c>
      <c r="D189" s="2" t="s">
        <v>182</v>
      </c>
      <c r="E189" s="2" t="s">
        <v>35</v>
      </c>
      <c r="F189" s="3">
        <v>1380748.9651199998</v>
      </c>
      <c r="G189" s="3">
        <v>872</v>
      </c>
      <c r="H189" s="3">
        <v>249</v>
      </c>
      <c r="I189" s="3" t="s">
        <v>257</v>
      </c>
      <c r="J189" s="18">
        <v>419</v>
      </c>
      <c r="K189" s="18">
        <v>1</v>
      </c>
    </row>
    <row r="190" spans="1:11" ht="25.8" x14ac:dyDescent="0.5">
      <c r="A190" s="2">
        <v>2024</v>
      </c>
      <c r="B190" s="2" t="s">
        <v>59</v>
      </c>
      <c r="C190" s="2" t="s">
        <v>9</v>
      </c>
      <c r="D190" s="2" t="s">
        <v>142</v>
      </c>
      <c r="E190" s="2" t="s">
        <v>22</v>
      </c>
      <c r="F190" s="3">
        <v>1380748.9651199998</v>
      </c>
      <c r="G190" s="3">
        <v>93</v>
      </c>
      <c r="H190" s="3">
        <v>852</v>
      </c>
      <c r="I190" s="3" t="s">
        <v>258</v>
      </c>
      <c r="J190" s="18">
        <v>1330</v>
      </c>
      <c r="K190" s="18">
        <v>1</v>
      </c>
    </row>
    <row r="191" spans="1:11" ht="25.8" x14ac:dyDescent="0.5">
      <c r="A191" s="2">
        <v>2024</v>
      </c>
      <c r="B191" s="2" t="s">
        <v>50</v>
      </c>
      <c r="C191" s="2" t="s">
        <v>9</v>
      </c>
      <c r="D191" s="2" t="s">
        <v>134</v>
      </c>
      <c r="E191" s="2" t="s">
        <v>22</v>
      </c>
      <c r="F191" s="3">
        <v>1380748.9651199998</v>
      </c>
      <c r="G191" s="3">
        <v>93</v>
      </c>
      <c r="H191" s="3">
        <v>852</v>
      </c>
      <c r="I191" s="3" t="s">
        <v>259</v>
      </c>
      <c r="J191" s="18">
        <v>1652</v>
      </c>
      <c r="K191" s="18">
        <v>1</v>
      </c>
    </row>
    <row r="192" spans="1:11" ht="25.8" x14ac:dyDescent="0.5">
      <c r="A192" s="2">
        <v>2024</v>
      </c>
      <c r="B192" s="2" t="s">
        <v>50</v>
      </c>
      <c r="C192" s="2" t="s">
        <v>9</v>
      </c>
      <c r="D192" s="2" t="s">
        <v>138</v>
      </c>
      <c r="E192" s="2" t="s">
        <v>22</v>
      </c>
      <c r="F192" s="3">
        <v>1380748.9651199998</v>
      </c>
      <c r="G192" s="3">
        <v>168</v>
      </c>
      <c r="H192" s="3">
        <v>97</v>
      </c>
      <c r="I192" s="3" t="s">
        <v>260</v>
      </c>
      <c r="J192" s="18">
        <v>135</v>
      </c>
      <c r="K192" s="18">
        <v>1</v>
      </c>
    </row>
    <row r="193" spans="1:11" ht="25.8" x14ac:dyDescent="0.5">
      <c r="A193" s="2">
        <v>2024</v>
      </c>
      <c r="B193" s="2" t="s">
        <v>18</v>
      </c>
      <c r="C193" s="2" t="s">
        <v>9</v>
      </c>
      <c r="D193" s="2" t="s">
        <v>108</v>
      </c>
      <c r="E193" s="2" t="s">
        <v>22</v>
      </c>
      <c r="F193" s="3">
        <v>1380748.9651199998</v>
      </c>
      <c r="G193" s="3">
        <v>403</v>
      </c>
      <c r="H193" s="3">
        <v>953</v>
      </c>
      <c r="I193" s="3" t="s">
        <v>261</v>
      </c>
      <c r="J193" s="18">
        <v>1894</v>
      </c>
      <c r="K193" s="18">
        <v>1</v>
      </c>
    </row>
    <row r="194" spans="1:11" ht="25.8" x14ac:dyDescent="0.5">
      <c r="A194" s="2">
        <v>2024</v>
      </c>
      <c r="B194" s="2" t="s">
        <v>8</v>
      </c>
      <c r="C194" s="2" t="s">
        <v>9</v>
      </c>
      <c r="D194" s="2" t="s">
        <v>158</v>
      </c>
      <c r="E194" s="2" t="s">
        <v>14</v>
      </c>
      <c r="F194" s="3">
        <v>1380748.9651199998</v>
      </c>
      <c r="G194" s="3">
        <v>577</v>
      </c>
      <c r="H194" s="3">
        <v>175</v>
      </c>
      <c r="I194" s="3" t="s">
        <v>250</v>
      </c>
      <c r="J194" s="18">
        <v>247</v>
      </c>
      <c r="K194" s="18">
        <v>1</v>
      </c>
    </row>
    <row r="195" spans="1:11" ht="25.8" x14ac:dyDescent="0.5">
      <c r="A195" s="2">
        <v>2024</v>
      </c>
      <c r="B195" s="2" t="s">
        <v>12</v>
      </c>
      <c r="C195" s="2" t="s">
        <v>9</v>
      </c>
      <c r="D195" s="2" t="s">
        <v>174</v>
      </c>
      <c r="E195" s="2" t="s">
        <v>14</v>
      </c>
      <c r="F195" s="3">
        <v>1380748.9651199998</v>
      </c>
      <c r="G195" s="3">
        <v>610</v>
      </c>
      <c r="H195" s="3">
        <v>970</v>
      </c>
      <c r="I195" s="3" t="s">
        <v>251</v>
      </c>
      <c r="J195" s="18">
        <v>1929</v>
      </c>
      <c r="K195" s="18">
        <v>1</v>
      </c>
    </row>
    <row r="196" spans="1:11" ht="25.8" x14ac:dyDescent="0.5">
      <c r="A196" s="2">
        <v>2024</v>
      </c>
      <c r="B196" s="2" t="s">
        <v>23</v>
      </c>
      <c r="C196" s="2" t="s">
        <v>9</v>
      </c>
      <c r="D196" s="2" t="s">
        <v>180</v>
      </c>
      <c r="E196" s="2" t="s">
        <v>14</v>
      </c>
      <c r="F196" s="3">
        <v>1380748.9651199998</v>
      </c>
      <c r="G196" s="3">
        <v>577</v>
      </c>
      <c r="H196" s="3">
        <v>175</v>
      </c>
      <c r="I196" s="3" t="s">
        <v>252</v>
      </c>
      <c r="J196" s="18">
        <v>317</v>
      </c>
      <c r="K196" s="18">
        <v>1</v>
      </c>
    </row>
    <row r="197" spans="1:11" ht="25.8" x14ac:dyDescent="0.5">
      <c r="A197" s="2">
        <v>2024</v>
      </c>
      <c r="B197" s="2" t="s">
        <v>50</v>
      </c>
      <c r="C197" s="2" t="s">
        <v>9</v>
      </c>
      <c r="D197" s="2" t="s">
        <v>99</v>
      </c>
      <c r="E197" s="2" t="s">
        <v>38</v>
      </c>
      <c r="F197" s="3">
        <v>1380748.9651199998</v>
      </c>
      <c r="G197" s="3">
        <v>210</v>
      </c>
      <c r="H197" s="3">
        <v>177</v>
      </c>
      <c r="I197" s="3" t="s">
        <v>253</v>
      </c>
      <c r="J197" s="18">
        <v>425</v>
      </c>
      <c r="K197" s="18">
        <v>1</v>
      </c>
    </row>
    <row r="198" spans="1:11" ht="25.8" x14ac:dyDescent="0.5">
      <c r="A198" s="2">
        <v>2024</v>
      </c>
      <c r="B198" s="2" t="s">
        <v>18</v>
      </c>
      <c r="C198" s="2" t="s">
        <v>9</v>
      </c>
      <c r="D198" s="2" t="s">
        <v>177</v>
      </c>
      <c r="E198" s="2" t="s">
        <v>20</v>
      </c>
      <c r="F198" s="3">
        <v>1380748.9651199998</v>
      </c>
      <c r="G198" s="3">
        <v>403</v>
      </c>
      <c r="H198" s="3">
        <v>953</v>
      </c>
      <c r="I198" s="3" t="s">
        <v>254</v>
      </c>
      <c r="J198" s="18">
        <v>1840</v>
      </c>
      <c r="K198" s="18">
        <v>1</v>
      </c>
    </row>
    <row r="199" spans="1:11" ht="25.8" x14ac:dyDescent="0.5">
      <c r="A199" s="2">
        <v>2024</v>
      </c>
      <c r="B199" s="2" t="s">
        <v>59</v>
      </c>
      <c r="C199" s="2" t="s">
        <v>9</v>
      </c>
      <c r="D199" s="2" t="s">
        <v>127</v>
      </c>
      <c r="E199" s="2" t="s">
        <v>20</v>
      </c>
      <c r="F199" s="3">
        <v>1380748.9651199998</v>
      </c>
      <c r="G199" s="3">
        <v>610</v>
      </c>
      <c r="H199" s="3">
        <v>970</v>
      </c>
      <c r="I199" s="3" t="s">
        <v>255</v>
      </c>
      <c r="J199" s="18">
        <v>1246</v>
      </c>
      <c r="K199" s="18">
        <v>1</v>
      </c>
    </row>
    <row r="200" spans="1:11" ht="25.8" x14ac:dyDescent="0.5">
      <c r="A200" s="2">
        <v>2024</v>
      </c>
      <c r="B200" s="2" t="s">
        <v>12</v>
      </c>
      <c r="C200" s="2" t="s">
        <v>9</v>
      </c>
      <c r="D200" s="2" t="s">
        <v>183</v>
      </c>
      <c r="E200" s="2" t="s">
        <v>20</v>
      </c>
      <c r="F200" s="3">
        <v>1380748.9651199998</v>
      </c>
      <c r="G200" s="3">
        <v>839</v>
      </c>
      <c r="H200" s="3">
        <v>334</v>
      </c>
      <c r="I200" s="3" t="s">
        <v>256</v>
      </c>
      <c r="J200" s="18">
        <v>717</v>
      </c>
      <c r="K200" s="18">
        <v>1</v>
      </c>
    </row>
    <row r="201" spans="1:11" ht="25.8" x14ac:dyDescent="0.5">
      <c r="A201" s="2">
        <v>2024</v>
      </c>
      <c r="B201" s="2" t="s">
        <v>18</v>
      </c>
      <c r="C201" s="2" t="s">
        <v>9</v>
      </c>
      <c r="D201" s="2" t="s">
        <v>72</v>
      </c>
      <c r="E201" s="2" t="s">
        <v>20</v>
      </c>
      <c r="F201" s="3">
        <v>1380748.9651199998</v>
      </c>
      <c r="G201" s="3">
        <v>839</v>
      </c>
      <c r="H201" s="3">
        <v>334</v>
      </c>
      <c r="I201" s="3" t="s">
        <v>257</v>
      </c>
      <c r="J201" s="18">
        <v>711</v>
      </c>
      <c r="K201" s="18">
        <v>1</v>
      </c>
    </row>
    <row r="202" spans="1:11" ht="25.8" x14ac:dyDescent="0.5">
      <c r="A202" s="2">
        <v>2024</v>
      </c>
      <c r="B202" s="2" t="s">
        <v>18</v>
      </c>
      <c r="C202" s="2" t="s">
        <v>9</v>
      </c>
      <c r="D202" s="2" t="s">
        <v>163</v>
      </c>
      <c r="E202" s="2" t="s">
        <v>66</v>
      </c>
      <c r="F202" s="3">
        <v>1380748.9651199998</v>
      </c>
      <c r="G202" s="3">
        <v>312</v>
      </c>
      <c r="H202" s="3">
        <v>983</v>
      </c>
      <c r="I202" s="3" t="s">
        <v>258</v>
      </c>
      <c r="J202" s="18">
        <v>1731</v>
      </c>
      <c r="K202" s="18">
        <v>1</v>
      </c>
    </row>
    <row r="203" spans="1:11" ht="25.8" x14ac:dyDescent="0.5">
      <c r="A203" s="2">
        <v>2024</v>
      </c>
      <c r="B203" s="2" t="s">
        <v>15</v>
      </c>
      <c r="C203" s="2" t="s">
        <v>9</v>
      </c>
      <c r="D203" s="2" t="s">
        <v>124</v>
      </c>
      <c r="E203" s="2" t="s">
        <v>66</v>
      </c>
      <c r="F203" s="3">
        <v>1380748.9651199998</v>
      </c>
      <c r="G203" s="3">
        <v>577</v>
      </c>
      <c r="H203" s="3">
        <v>175</v>
      </c>
      <c r="I203" s="3" t="s">
        <v>259</v>
      </c>
      <c r="J203" s="18">
        <v>293</v>
      </c>
      <c r="K203" s="18">
        <v>1</v>
      </c>
    </row>
    <row r="204" spans="1:11" ht="25.8" x14ac:dyDescent="0.5">
      <c r="A204" s="2">
        <v>2024</v>
      </c>
      <c r="B204" s="2" t="s">
        <v>54</v>
      </c>
      <c r="C204" s="2" t="s">
        <v>9</v>
      </c>
      <c r="D204" s="2" t="s">
        <v>175</v>
      </c>
      <c r="E204" s="2" t="s">
        <v>17</v>
      </c>
      <c r="F204" s="3">
        <v>1390503.5665919997</v>
      </c>
      <c r="G204" s="3">
        <v>839</v>
      </c>
      <c r="H204" s="3">
        <v>334</v>
      </c>
      <c r="I204" s="3" t="s">
        <v>260</v>
      </c>
      <c r="J204" s="18">
        <v>632</v>
      </c>
      <c r="K204" s="18">
        <v>1</v>
      </c>
    </row>
    <row r="205" spans="1:11" ht="25.8" x14ac:dyDescent="0.5">
      <c r="A205" s="2">
        <v>2024</v>
      </c>
      <c r="B205" s="2" t="s">
        <v>18</v>
      </c>
      <c r="C205" s="2" t="s">
        <v>9</v>
      </c>
      <c r="D205" s="2" t="s">
        <v>179</v>
      </c>
      <c r="E205" s="2" t="s">
        <v>20</v>
      </c>
      <c r="F205" s="3">
        <v>1397005.6988159998</v>
      </c>
      <c r="G205" s="3">
        <v>930</v>
      </c>
      <c r="H205" s="3">
        <v>563</v>
      </c>
      <c r="I205" s="3" t="s">
        <v>261</v>
      </c>
      <c r="J205" s="18">
        <v>1001</v>
      </c>
      <c r="K205" s="18">
        <v>1</v>
      </c>
    </row>
    <row r="206" spans="1:11" ht="25.8" x14ac:dyDescent="0.5">
      <c r="A206" s="2">
        <v>2023</v>
      </c>
      <c r="B206" s="2" t="s">
        <v>50</v>
      </c>
      <c r="C206" s="2" t="s">
        <v>9</v>
      </c>
      <c r="D206" s="2" t="s">
        <v>118</v>
      </c>
      <c r="E206" s="2" t="s">
        <v>22</v>
      </c>
      <c r="F206" s="3">
        <v>123625.60000000001</v>
      </c>
      <c r="G206" s="3">
        <v>312</v>
      </c>
      <c r="H206" s="3">
        <v>983</v>
      </c>
      <c r="I206" s="3" t="s">
        <v>250</v>
      </c>
      <c r="J206" s="18">
        <v>1704</v>
      </c>
      <c r="K206" s="18">
        <v>1</v>
      </c>
    </row>
    <row r="207" spans="1:11" ht="25.8" x14ac:dyDescent="0.5">
      <c r="A207" s="2">
        <v>2023</v>
      </c>
      <c r="B207" s="2" t="s">
        <v>23</v>
      </c>
      <c r="C207" s="2" t="s">
        <v>9</v>
      </c>
      <c r="D207" s="2" t="s">
        <v>102</v>
      </c>
      <c r="E207" s="2" t="s">
        <v>17</v>
      </c>
      <c r="F207" s="3">
        <v>129596.32</v>
      </c>
      <c r="G207" s="3">
        <v>312</v>
      </c>
      <c r="H207" s="3">
        <v>983</v>
      </c>
      <c r="I207" s="3" t="s">
        <v>251</v>
      </c>
      <c r="J207" s="18">
        <v>1475</v>
      </c>
      <c r="K207" s="18">
        <v>1</v>
      </c>
    </row>
    <row r="208" spans="1:11" ht="25.8" x14ac:dyDescent="0.5">
      <c r="A208" s="2">
        <v>2023</v>
      </c>
      <c r="B208" s="2" t="s">
        <v>12</v>
      </c>
      <c r="C208" s="2" t="s">
        <v>9</v>
      </c>
      <c r="D208" s="2" t="s">
        <v>184</v>
      </c>
      <c r="E208" s="2" t="s">
        <v>35</v>
      </c>
      <c r="F208" s="3">
        <v>143687.04000000001</v>
      </c>
      <c r="G208" s="3">
        <v>872</v>
      </c>
      <c r="H208" s="3">
        <v>249</v>
      </c>
      <c r="I208" s="3" t="s">
        <v>252</v>
      </c>
      <c r="J208" s="18">
        <v>517</v>
      </c>
      <c r="K208" s="18">
        <v>1</v>
      </c>
    </row>
    <row r="209" spans="1:11" ht="25.8" x14ac:dyDescent="0.5">
      <c r="A209" s="2">
        <v>2023</v>
      </c>
      <c r="B209" s="2" t="s">
        <v>23</v>
      </c>
      <c r="C209" s="2" t="s">
        <v>9</v>
      </c>
      <c r="D209" s="2" t="s">
        <v>185</v>
      </c>
      <c r="E209" s="2" t="s">
        <v>22</v>
      </c>
      <c r="F209" s="3">
        <v>145079.20000000001</v>
      </c>
      <c r="G209" s="3">
        <v>968</v>
      </c>
      <c r="H209" s="3">
        <v>330</v>
      </c>
      <c r="I209" s="3" t="s">
        <v>253</v>
      </c>
      <c r="J209" s="18">
        <v>629</v>
      </c>
      <c r="K209" s="18">
        <v>1</v>
      </c>
    </row>
    <row r="210" spans="1:11" ht="25.8" x14ac:dyDescent="0.5">
      <c r="A210" s="2">
        <v>2023</v>
      </c>
      <c r="B210" s="2" t="s">
        <v>12</v>
      </c>
      <c r="C210" s="2" t="s">
        <v>9</v>
      </c>
      <c r="D210" s="2" t="s">
        <v>186</v>
      </c>
      <c r="E210" s="2" t="s">
        <v>11</v>
      </c>
      <c r="F210" s="3">
        <v>148080.79999999999</v>
      </c>
      <c r="G210" s="3">
        <v>930</v>
      </c>
      <c r="H210" s="3">
        <v>563</v>
      </c>
      <c r="I210" s="3" t="s">
        <v>254</v>
      </c>
      <c r="J210" s="18">
        <v>938</v>
      </c>
      <c r="K210" s="18">
        <v>1</v>
      </c>
    </row>
    <row r="211" spans="1:11" ht="25.8" x14ac:dyDescent="0.5">
      <c r="A211" s="2">
        <v>2023</v>
      </c>
      <c r="B211" s="2" t="s">
        <v>12</v>
      </c>
      <c r="C211" s="2" t="s">
        <v>9</v>
      </c>
      <c r="D211" s="2" t="s">
        <v>187</v>
      </c>
      <c r="E211" s="2" t="s">
        <v>11</v>
      </c>
      <c r="F211" s="3">
        <v>148080.79999999999</v>
      </c>
      <c r="G211" s="3">
        <v>287</v>
      </c>
      <c r="H211" s="3">
        <v>744</v>
      </c>
      <c r="I211" s="3" t="s">
        <v>255</v>
      </c>
      <c r="J211" s="18">
        <v>1527</v>
      </c>
      <c r="K211" s="18">
        <v>1</v>
      </c>
    </row>
    <row r="212" spans="1:11" ht="25.8" x14ac:dyDescent="0.5">
      <c r="A212" s="2">
        <v>2023</v>
      </c>
      <c r="B212" s="2" t="s">
        <v>29</v>
      </c>
      <c r="C212" s="2" t="s">
        <v>9</v>
      </c>
      <c r="D212" s="2" t="s">
        <v>71</v>
      </c>
      <c r="E212" s="2" t="s">
        <v>11</v>
      </c>
      <c r="F212" s="3">
        <v>148080.79999999999</v>
      </c>
      <c r="G212" s="3">
        <v>610</v>
      </c>
      <c r="H212" s="3">
        <v>970</v>
      </c>
      <c r="I212" s="3" t="s">
        <v>256</v>
      </c>
      <c r="J212" s="18">
        <v>1188</v>
      </c>
      <c r="K212" s="18">
        <v>1</v>
      </c>
    </row>
    <row r="213" spans="1:11" ht="25.8" x14ac:dyDescent="0.5">
      <c r="A213" s="2">
        <v>2023</v>
      </c>
      <c r="B213" s="2" t="s">
        <v>50</v>
      </c>
      <c r="C213" s="2" t="s">
        <v>9</v>
      </c>
      <c r="D213" s="2" t="s">
        <v>100</v>
      </c>
      <c r="E213" s="2" t="s">
        <v>11</v>
      </c>
      <c r="F213" s="3">
        <v>148080.79999999999</v>
      </c>
      <c r="G213" s="3">
        <v>784</v>
      </c>
      <c r="H213" s="3">
        <v>540</v>
      </c>
      <c r="I213" s="3" t="s">
        <v>257</v>
      </c>
      <c r="J213" s="18">
        <v>868</v>
      </c>
      <c r="K213" s="18">
        <v>1</v>
      </c>
    </row>
    <row r="214" spans="1:11" ht="25.8" x14ac:dyDescent="0.5">
      <c r="A214" s="2">
        <v>2023</v>
      </c>
      <c r="B214" s="2" t="s">
        <v>15</v>
      </c>
      <c r="C214" s="2" t="s">
        <v>9</v>
      </c>
      <c r="D214" s="2" t="s">
        <v>39</v>
      </c>
      <c r="E214" s="2" t="s">
        <v>11</v>
      </c>
      <c r="F214" s="3">
        <v>148080.79999999999</v>
      </c>
      <c r="G214" s="3">
        <v>597</v>
      </c>
      <c r="H214" s="3">
        <v>287</v>
      </c>
      <c r="I214" s="3" t="s">
        <v>258</v>
      </c>
      <c r="J214" s="18">
        <v>597</v>
      </c>
      <c r="K214" s="18">
        <v>1</v>
      </c>
    </row>
    <row r="215" spans="1:11" ht="25.8" x14ac:dyDescent="0.5">
      <c r="A215" s="2">
        <v>2023</v>
      </c>
      <c r="B215" s="2" t="s">
        <v>23</v>
      </c>
      <c r="C215" s="2" t="s">
        <v>9</v>
      </c>
      <c r="D215" s="2" t="s">
        <v>94</v>
      </c>
      <c r="E215" s="2" t="s">
        <v>11</v>
      </c>
      <c r="F215" s="3">
        <v>148080.79999999999</v>
      </c>
      <c r="G215" s="3">
        <v>784</v>
      </c>
      <c r="H215" s="3">
        <v>540</v>
      </c>
      <c r="I215" s="3" t="s">
        <v>259</v>
      </c>
      <c r="J215" s="18">
        <v>1117</v>
      </c>
      <c r="K215" s="18">
        <v>1</v>
      </c>
    </row>
    <row r="216" spans="1:11" ht="25.8" x14ac:dyDescent="0.5">
      <c r="A216" s="2">
        <v>2023</v>
      </c>
      <c r="B216" s="2" t="s">
        <v>50</v>
      </c>
      <c r="C216" s="2" t="s">
        <v>9</v>
      </c>
      <c r="D216" s="2" t="s">
        <v>110</v>
      </c>
      <c r="E216" s="2" t="s">
        <v>11</v>
      </c>
      <c r="F216" s="3">
        <v>148080.79999999999</v>
      </c>
      <c r="G216" s="3">
        <v>93</v>
      </c>
      <c r="H216" s="3">
        <v>852</v>
      </c>
      <c r="I216" s="3" t="s">
        <v>260</v>
      </c>
      <c r="J216" s="18">
        <v>1518</v>
      </c>
      <c r="K216" s="18">
        <v>1</v>
      </c>
    </row>
    <row r="217" spans="1:11" ht="25.8" x14ac:dyDescent="0.5">
      <c r="A217" s="2">
        <v>2023</v>
      </c>
      <c r="B217" s="2" t="s">
        <v>29</v>
      </c>
      <c r="C217" s="2" t="s">
        <v>9</v>
      </c>
      <c r="D217" s="2" t="s">
        <v>160</v>
      </c>
      <c r="E217" s="2" t="s">
        <v>11</v>
      </c>
      <c r="F217" s="3">
        <v>148080.79999999999</v>
      </c>
      <c r="G217" s="3">
        <v>930</v>
      </c>
      <c r="H217" s="3">
        <v>563</v>
      </c>
      <c r="I217" s="3" t="s">
        <v>261</v>
      </c>
      <c r="J217" s="18">
        <v>913</v>
      </c>
      <c r="K217" s="18">
        <v>1</v>
      </c>
    </row>
    <row r="218" spans="1:11" ht="25.8" x14ac:dyDescent="0.5">
      <c r="A218" s="2">
        <v>2023</v>
      </c>
      <c r="B218" s="2" t="s">
        <v>12</v>
      </c>
      <c r="C218" s="2" t="s">
        <v>9</v>
      </c>
      <c r="D218" s="2" t="s">
        <v>37</v>
      </c>
      <c r="E218" s="2" t="s">
        <v>11</v>
      </c>
      <c r="F218" s="3">
        <v>148080.79999999999</v>
      </c>
      <c r="G218" s="3">
        <v>403</v>
      </c>
      <c r="H218" s="3">
        <v>953</v>
      </c>
      <c r="I218" s="3" t="s">
        <v>250</v>
      </c>
      <c r="J218" s="18">
        <v>1438</v>
      </c>
      <c r="K218" s="18">
        <v>1</v>
      </c>
    </row>
    <row r="219" spans="1:11" ht="25.8" x14ac:dyDescent="0.5">
      <c r="A219" s="2">
        <v>2023</v>
      </c>
      <c r="B219" s="2" t="s">
        <v>29</v>
      </c>
      <c r="C219" s="2" t="s">
        <v>9</v>
      </c>
      <c r="D219" s="2" t="s">
        <v>188</v>
      </c>
      <c r="E219" s="2" t="s">
        <v>11</v>
      </c>
      <c r="F219" s="3">
        <v>148080.79999999999</v>
      </c>
      <c r="G219" s="3">
        <v>403</v>
      </c>
      <c r="H219" s="3">
        <v>953</v>
      </c>
      <c r="I219" s="3" t="s">
        <v>251</v>
      </c>
      <c r="J219" s="18">
        <v>1317</v>
      </c>
      <c r="K219" s="18">
        <v>1</v>
      </c>
    </row>
    <row r="220" spans="1:11" ht="25.8" x14ac:dyDescent="0.5">
      <c r="A220" s="2">
        <v>2023</v>
      </c>
      <c r="B220" s="2" t="s">
        <v>27</v>
      </c>
      <c r="C220" s="2" t="s">
        <v>9</v>
      </c>
      <c r="D220" s="2" t="s">
        <v>76</v>
      </c>
      <c r="E220" s="2" t="s">
        <v>11</v>
      </c>
      <c r="F220" s="3">
        <v>148080.79999999999</v>
      </c>
      <c r="G220" s="3">
        <v>577</v>
      </c>
      <c r="H220" s="3">
        <v>175</v>
      </c>
      <c r="I220" s="3" t="s">
        <v>252</v>
      </c>
      <c r="J220" s="18">
        <v>329</v>
      </c>
      <c r="K220" s="18">
        <v>1</v>
      </c>
    </row>
    <row r="221" spans="1:11" ht="25.8" x14ac:dyDescent="0.5">
      <c r="A221" s="2">
        <v>2023</v>
      </c>
      <c r="B221" s="2" t="s">
        <v>15</v>
      </c>
      <c r="C221" s="2" t="s">
        <v>9</v>
      </c>
      <c r="D221" s="2" t="s">
        <v>159</v>
      </c>
      <c r="E221" s="2" t="s">
        <v>11</v>
      </c>
      <c r="F221" s="3">
        <v>148080.79999999999</v>
      </c>
      <c r="G221" s="3">
        <v>403</v>
      </c>
      <c r="H221" s="3">
        <v>953</v>
      </c>
      <c r="I221" s="3" t="s">
        <v>253</v>
      </c>
      <c r="J221" s="18">
        <v>1175</v>
      </c>
      <c r="K221" s="18">
        <v>1</v>
      </c>
    </row>
    <row r="222" spans="1:11" ht="25.8" x14ac:dyDescent="0.5">
      <c r="A222" s="2">
        <v>2023</v>
      </c>
      <c r="B222" s="2" t="s">
        <v>15</v>
      </c>
      <c r="C222" s="2" t="s">
        <v>9</v>
      </c>
      <c r="D222" s="2" t="s">
        <v>72</v>
      </c>
      <c r="E222" s="2" t="s">
        <v>11</v>
      </c>
      <c r="F222" s="3">
        <v>148080.79999999999</v>
      </c>
      <c r="G222" s="3">
        <v>692</v>
      </c>
      <c r="H222" s="3">
        <v>300</v>
      </c>
      <c r="I222" s="3" t="s">
        <v>254</v>
      </c>
      <c r="J222" s="18">
        <v>638</v>
      </c>
      <c r="K222" s="18">
        <v>1</v>
      </c>
    </row>
    <row r="223" spans="1:11" ht="25.8" x14ac:dyDescent="0.5">
      <c r="A223" s="2">
        <v>2023</v>
      </c>
      <c r="B223" s="2" t="s">
        <v>15</v>
      </c>
      <c r="C223" s="2" t="s">
        <v>9</v>
      </c>
      <c r="D223" s="2" t="s">
        <v>45</v>
      </c>
      <c r="E223" s="2" t="s">
        <v>11</v>
      </c>
      <c r="F223" s="3">
        <v>148080.79999999999</v>
      </c>
      <c r="G223" s="3">
        <v>930</v>
      </c>
      <c r="H223" s="3">
        <v>563</v>
      </c>
      <c r="I223" s="3" t="s">
        <v>255</v>
      </c>
      <c r="J223" s="18">
        <v>1020</v>
      </c>
      <c r="K223" s="18">
        <v>1</v>
      </c>
    </row>
    <row r="224" spans="1:11" ht="25.8" x14ac:dyDescent="0.5">
      <c r="A224" s="2">
        <v>2023</v>
      </c>
      <c r="B224" s="2" t="s">
        <v>15</v>
      </c>
      <c r="C224" s="2" t="s">
        <v>9</v>
      </c>
      <c r="D224" s="2" t="s">
        <v>48</v>
      </c>
      <c r="E224" s="2" t="s">
        <v>11</v>
      </c>
      <c r="F224" s="3">
        <v>148080.79999999999</v>
      </c>
      <c r="G224" s="3">
        <v>210</v>
      </c>
      <c r="H224" s="3">
        <v>177</v>
      </c>
      <c r="I224" s="3" t="s">
        <v>256</v>
      </c>
      <c r="J224" s="18">
        <v>311</v>
      </c>
      <c r="K224" s="18">
        <v>1</v>
      </c>
    </row>
    <row r="225" spans="1:11" ht="25.8" x14ac:dyDescent="0.5">
      <c r="A225" s="2">
        <v>2023</v>
      </c>
      <c r="B225" s="2" t="s">
        <v>12</v>
      </c>
      <c r="C225" s="2" t="s">
        <v>9</v>
      </c>
      <c r="D225" s="2" t="s">
        <v>189</v>
      </c>
      <c r="E225" s="2" t="s">
        <v>11</v>
      </c>
      <c r="F225" s="3">
        <v>148080.79999999999</v>
      </c>
      <c r="G225" s="3">
        <v>968</v>
      </c>
      <c r="H225" s="3">
        <v>330</v>
      </c>
      <c r="I225" s="3" t="s">
        <v>257</v>
      </c>
      <c r="J225" s="18">
        <v>485</v>
      </c>
      <c r="K225" s="18">
        <v>1</v>
      </c>
    </row>
    <row r="226" spans="1:11" ht="25.8" x14ac:dyDescent="0.5">
      <c r="A226" s="2">
        <v>2023</v>
      </c>
      <c r="B226" s="2" t="s">
        <v>12</v>
      </c>
      <c r="C226" s="2" t="s">
        <v>9</v>
      </c>
      <c r="D226" s="2" t="s">
        <v>162</v>
      </c>
      <c r="E226" s="2" t="s">
        <v>11</v>
      </c>
      <c r="F226" s="3">
        <v>148080.79999999999</v>
      </c>
      <c r="G226" s="3">
        <v>403</v>
      </c>
      <c r="H226" s="3">
        <v>953</v>
      </c>
      <c r="I226" s="3" t="s">
        <v>258</v>
      </c>
      <c r="J226" s="18">
        <v>1495</v>
      </c>
      <c r="K226" s="18">
        <v>1</v>
      </c>
    </row>
    <row r="227" spans="1:11" ht="25.8" x14ac:dyDescent="0.5">
      <c r="A227" s="2">
        <v>2023</v>
      </c>
      <c r="B227" s="2" t="s">
        <v>23</v>
      </c>
      <c r="C227" s="2" t="s">
        <v>9</v>
      </c>
      <c r="D227" s="2" t="s">
        <v>172</v>
      </c>
      <c r="E227" s="2" t="s">
        <v>11</v>
      </c>
      <c r="F227" s="3">
        <v>148080.79999999999</v>
      </c>
      <c r="G227" s="3">
        <v>93</v>
      </c>
      <c r="H227" s="3">
        <v>852</v>
      </c>
      <c r="I227" s="3" t="s">
        <v>259</v>
      </c>
      <c r="J227" s="18">
        <v>1821</v>
      </c>
      <c r="K227" s="18">
        <v>1</v>
      </c>
    </row>
    <row r="228" spans="1:11" ht="25.8" x14ac:dyDescent="0.5">
      <c r="A228" s="2">
        <v>2023</v>
      </c>
      <c r="B228" s="2" t="s">
        <v>27</v>
      </c>
      <c r="C228" s="2" t="s">
        <v>9</v>
      </c>
      <c r="D228" s="2" t="s">
        <v>10</v>
      </c>
      <c r="E228" s="2" t="s">
        <v>11</v>
      </c>
      <c r="F228" s="3">
        <v>148080.79999999999</v>
      </c>
      <c r="G228" s="3">
        <v>577</v>
      </c>
      <c r="H228" s="3">
        <v>175</v>
      </c>
      <c r="I228" s="3" t="s">
        <v>260</v>
      </c>
      <c r="J228" s="18">
        <v>319</v>
      </c>
      <c r="K228" s="18">
        <v>1</v>
      </c>
    </row>
    <row r="229" spans="1:11" ht="25.8" x14ac:dyDescent="0.5">
      <c r="A229" s="2">
        <v>2023</v>
      </c>
      <c r="B229" s="2" t="s">
        <v>27</v>
      </c>
      <c r="C229" s="2" t="s">
        <v>9</v>
      </c>
      <c r="D229" s="2" t="s">
        <v>89</v>
      </c>
      <c r="E229" s="2" t="s">
        <v>11</v>
      </c>
      <c r="F229" s="3">
        <v>148080.79999999999</v>
      </c>
      <c r="G229" s="3">
        <v>403</v>
      </c>
      <c r="H229" s="3">
        <v>953</v>
      </c>
      <c r="I229" s="3" t="s">
        <v>261</v>
      </c>
      <c r="J229" s="18">
        <v>1758</v>
      </c>
      <c r="K229" s="18">
        <v>1</v>
      </c>
    </row>
    <row r="230" spans="1:11" ht="25.8" x14ac:dyDescent="0.5">
      <c r="A230" s="2">
        <v>2023</v>
      </c>
      <c r="B230" s="2" t="s">
        <v>18</v>
      </c>
      <c r="C230" s="2" t="s">
        <v>9</v>
      </c>
      <c r="D230" s="2" t="s">
        <v>32</v>
      </c>
      <c r="E230" s="2" t="s">
        <v>35</v>
      </c>
      <c r="F230" s="3">
        <v>151026.4</v>
      </c>
      <c r="G230" s="3">
        <v>839</v>
      </c>
      <c r="H230" s="3">
        <v>334</v>
      </c>
      <c r="I230" s="3" t="s">
        <v>250</v>
      </c>
      <c r="J230" s="18">
        <v>477</v>
      </c>
      <c r="K230" s="18">
        <v>1</v>
      </c>
    </row>
    <row r="231" spans="1:11" ht="25.8" x14ac:dyDescent="0.5">
      <c r="A231" s="2">
        <v>2023</v>
      </c>
      <c r="B231" s="2" t="s">
        <v>8</v>
      </c>
      <c r="C231" s="2" t="s">
        <v>9</v>
      </c>
      <c r="D231" s="2" t="s">
        <v>190</v>
      </c>
      <c r="E231" s="2" t="s">
        <v>26</v>
      </c>
      <c r="F231" s="3">
        <v>155182.00320000001</v>
      </c>
      <c r="G231" s="3">
        <v>312</v>
      </c>
      <c r="H231" s="3">
        <v>983</v>
      </c>
      <c r="I231" s="3" t="s">
        <v>251</v>
      </c>
      <c r="J231" s="18">
        <v>1314</v>
      </c>
      <c r="K231" s="18">
        <v>1</v>
      </c>
    </row>
    <row r="232" spans="1:11" ht="25.8" x14ac:dyDescent="0.5">
      <c r="A232" s="2">
        <v>2023</v>
      </c>
      <c r="B232" s="2" t="s">
        <v>54</v>
      </c>
      <c r="C232" s="2" t="s">
        <v>9</v>
      </c>
      <c r="D232" s="2" t="s">
        <v>103</v>
      </c>
      <c r="E232" s="2" t="s">
        <v>66</v>
      </c>
      <c r="F232" s="3">
        <v>166970.72</v>
      </c>
      <c r="G232" s="3">
        <v>784</v>
      </c>
      <c r="H232" s="3">
        <v>540</v>
      </c>
      <c r="I232" s="3" t="s">
        <v>252</v>
      </c>
      <c r="J232" s="18">
        <v>1081</v>
      </c>
      <c r="K232" s="18">
        <v>1</v>
      </c>
    </row>
    <row r="233" spans="1:11" ht="25.8" x14ac:dyDescent="0.5">
      <c r="A233" s="2">
        <v>2023</v>
      </c>
      <c r="B233" s="2" t="s">
        <v>12</v>
      </c>
      <c r="C233" s="2" t="s">
        <v>9</v>
      </c>
      <c r="D233" s="2" t="s">
        <v>148</v>
      </c>
      <c r="E233" s="2" t="s">
        <v>35</v>
      </c>
      <c r="F233" s="3">
        <v>167547.51999999999</v>
      </c>
      <c r="G233" s="3">
        <v>403</v>
      </c>
      <c r="H233" s="3">
        <v>953</v>
      </c>
      <c r="I233" s="3" t="s">
        <v>253</v>
      </c>
      <c r="J233" s="18">
        <v>1583</v>
      </c>
      <c r="K233" s="18">
        <v>1</v>
      </c>
    </row>
    <row r="234" spans="1:11" ht="25.8" x14ac:dyDescent="0.5">
      <c r="A234" s="2">
        <v>2023</v>
      </c>
      <c r="B234" s="2" t="s">
        <v>8</v>
      </c>
      <c r="C234" s="2" t="s">
        <v>9</v>
      </c>
      <c r="D234" s="2" t="s">
        <v>68</v>
      </c>
      <c r="E234" s="2" t="s">
        <v>14</v>
      </c>
      <c r="F234" s="3">
        <v>170051.84</v>
      </c>
      <c r="G234" s="3">
        <v>210</v>
      </c>
      <c r="H234" s="3">
        <v>177</v>
      </c>
      <c r="I234" s="3" t="s">
        <v>254</v>
      </c>
      <c r="J234" s="18">
        <v>245</v>
      </c>
      <c r="K234" s="18">
        <v>1</v>
      </c>
    </row>
    <row r="235" spans="1:11" ht="25.8" x14ac:dyDescent="0.5">
      <c r="A235" s="2">
        <v>2023</v>
      </c>
      <c r="B235" s="2" t="s">
        <v>50</v>
      </c>
      <c r="C235" s="2" t="s">
        <v>9</v>
      </c>
      <c r="D235" s="2" t="s">
        <v>108</v>
      </c>
      <c r="E235" s="2" t="s">
        <v>38</v>
      </c>
      <c r="F235" s="3">
        <v>170291.52</v>
      </c>
      <c r="G235" s="3">
        <v>839</v>
      </c>
      <c r="H235" s="3">
        <v>983</v>
      </c>
      <c r="I235" s="3" t="s">
        <v>255</v>
      </c>
      <c r="J235" s="18">
        <v>2046</v>
      </c>
      <c r="K235" s="18">
        <v>1</v>
      </c>
    </row>
    <row r="236" spans="1:11" ht="25.8" x14ac:dyDescent="0.5">
      <c r="A236" s="2">
        <v>2023</v>
      </c>
      <c r="B236" s="2" t="s">
        <v>15</v>
      </c>
      <c r="C236" s="2" t="s">
        <v>9</v>
      </c>
      <c r="D236" s="2" t="s">
        <v>34</v>
      </c>
      <c r="E236" s="2" t="s">
        <v>17</v>
      </c>
      <c r="F236" s="3">
        <v>180951.3216</v>
      </c>
      <c r="G236" s="3">
        <v>795</v>
      </c>
      <c r="H236" s="3">
        <v>469</v>
      </c>
      <c r="I236" s="3" t="s">
        <v>256</v>
      </c>
      <c r="J236" s="18">
        <v>1161</v>
      </c>
      <c r="K236" s="18">
        <v>1</v>
      </c>
    </row>
    <row r="237" spans="1:11" ht="25.8" x14ac:dyDescent="0.5">
      <c r="A237" s="2">
        <v>2023</v>
      </c>
      <c r="B237" s="2" t="s">
        <v>27</v>
      </c>
      <c r="C237" s="2" t="s">
        <v>9</v>
      </c>
      <c r="D237" s="2" t="s">
        <v>151</v>
      </c>
      <c r="E237" s="2" t="s">
        <v>26</v>
      </c>
      <c r="F237" s="3">
        <v>185506.72</v>
      </c>
      <c r="G237" s="3">
        <v>930</v>
      </c>
      <c r="H237" s="3">
        <v>563</v>
      </c>
      <c r="I237" s="3" t="s">
        <v>257</v>
      </c>
      <c r="J237" s="18">
        <v>724</v>
      </c>
      <c r="K237" s="18">
        <v>1</v>
      </c>
    </row>
    <row r="238" spans="1:11" ht="25.8" x14ac:dyDescent="0.5">
      <c r="A238" s="2">
        <v>2023</v>
      </c>
      <c r="B238" s="2" t="s">
        <v>29</v>
      </c>
      <c r="C238" s="2" t="s">
        <v>9</v>
      </c>
      <c r="D238" s="2" t="s">
        <v>191</v>
      </c>
      <c r="E238" s="2" t="s">
        <v>26</v>
      </c>
      <c r="F238" s="3">
        <v>185514.56</v>
      </c>
      <c r="G238" s="3">
        <v>413</v>
      </c>
      <c r="H238" s="3">
        <v>930</v>
      </c>
      <c r="I238" s="3" t="s">
        <v>258</v>
      </c>
      <c r="J238" s="18">
        <v>2085</v>
      </c>
      <c r="K238" s="18">
        <v>1</v>
      </c>
    </row>
    <row r="239" spans="1:11" ht="25.8" x14ac:dyDescent="0.5">
      <c r="A239" s="2">
        <v>2023</v>
      </c>
      <c r="B239" s="2" t="s">
        <v>29</v>
      </c>
      <c r="C239" s="2" t="s">
        <v>9</v>
      </c>
      <c r="D239" s="2" t="s">
        <v>166</v>
      </c>
      <c r="E239" s="2" t="s">
        <v>26</v>
      </c>
      <c r="F239" s="3">
        <v>186455.36</v>
      </c>
      <c r="G239" s="3">
        <v>168</v>
      </c>
      <c r="H239" s="3">
        <v>97</v>
      </c>
      <c r="I239" s="3" t="s">
        <v>259</v>
      </c>
      <c r="J239" s="18">
        <v>132</v>
      </c>
      <c r="K239" s="18">
        <v>1</v>
      </c>
    </row>
    <row r="240" spans="1:11" ht="25.8" x14ac:dyDescent="0.5">
      <c r="A240" s="2">
        <v>2023</v>
      </c>
      <c r="B240" s="2" t="s">
        <v>12</v>
      </c>
      <c r="C240" s="2" t="s">
        <v>9</v>
      </c>
      <c r="D240" s="2" t="s">
        <v>87</v>
      </c>
      <c r="E240" s="2" t="s">
        <v>17</v>
      </c>
      <c r="F240" s="3">
        <v>198951.2</v>
      </c>
      <c r="G240" s="3">
        <v>930</v>
      </c>
      <c r="H240" s="3">
        <v>563</v>
      </c>
      <c r="I240" s="3" t="s">
        <v>260</v>
      </c>
      <c r="J240" s="18">
        <v>997</v>
      </c>
      <c r="K240" s="18">
        <v>1</v>
      </c>
    </row>
    <row r="241" spans="1:11" ht="25.8" x14ac:dyDescent="0.5">
      <c r="A241" s="2">
        <v>2023</v>
      </c>
      <c r="B241" s="2" t="s">
        <v>29</v>
      </c>
      <c r="C241" s="2" t="s">
        <v>9</v>
      </c>
      <c r="D241" s="2" t="s">
        <v>13</v>
      </c>
      <c r="E241" s="2" t="s">
        <v>26</v>
      </c>
      <c r="F241" s="3">
        <v>199691.51999999999</v>
      </c>
      <c r="G241" s="3">
        <v>692</v>
      </c>
      <c r="H241" s="3">
        <v>300</v>
      </c>
      <c r="I241" s="3" t="s">
        <v>261</v>
      </c>
      <c r="J241" s="18">
        <v>378</v>
      </c>
      <c r="K241" s="18">
        <v>1</v>
      </c>
    </row>
    <row r="242" spans="1:11" ht="25.8" x14ac:dyDescent="0.5">
      <c r="A242" s="2">
        <v>2023</v>
      </c>
      <c r="B242" s="2" t="s">
        <v>59</v>
      </c>
      <c r="C242" s="2" t="s">
        <v>9</v>
      </c>
      <c r="D242" s="2" t="s">
        <v>40</v>
      </c>
      <c r="E242" s="2" t="s">
        <v>20</v>
      </c>
      <c r="F242" s="3">
        <v>200347.25760000001</v>
      </c>
      <c r="G242" s="3">
        <v>692</v>
      </c>
      <c r="H242" s="3">
        <v>300</v>
      </c>
      <c r="I242" s="3" t="s">
        <v>250</v>
      </c>
      <c r="J242" s="18">
        <v>605</v>
      </c>
      <c r="K242" s="18">
        <v>1</v>
      </c>
    </row>
    <row r="243" spans="1:11" ht="25.8" x14ac:dyDescent="0.5">
      <c r="A243" s="2">
        <v>2023</v>
      </c>
      <c r="B243" s="2" t="s">
        <v>15</v>
      </c>
      <c r="C243" s="2" t="s">
        <v>9</v>
      </c>
      <c r="D243" s="2" t="s">
        <v>41</v>
      </c>
      <c r="E243" s="2" t="s">
        <v>38</v>
      </c>
      <c r="F243" s="3">
        <v>200355.7248</v>
      </c>
      <c r="G243" s="3">
        <v>287</v>
      </c>
      <c r="H243" s="3">
        <v>744</v>
      </c>
      <c r="I243" s="3" t="s">
        <v>251</v>
      </c>
      <c r="J243" s="18">
        <v>1361</v>
      </c>
      <c r="K243" s="18">
        <v>1</v>
      </c>
    </row>
    <row r="244" spans="1:11" ht="25.8" x14ac:dyDescent="0.5">
      <c r="A244" s="2">
        <v>2023</v>
      </c>
      <c r="B244" s="2" t="s">
        <v>15</v>
      </c>
      <c r="C244" s="2" t="s">
        <v>9</v>
      </c>
      <c r="D244" s="2" t="s">
        <v>98</v>
      </c>
      <c r="E244" s="2" t="s">
        <v>38</v>
      </c>
      <c r="F244" s="3">
        <v>204794.23999999999</v>
      </c>
      <c r="G244" s="3">
        <v>210</v>
      </c>
      <c r="H244" s="3">
        <v>177</v>
      </c>
      <c r="I244" s="3" t="s">
        <v>252</v>
      </c>
      <c r="J244" s="18">
        <v>438</v>
      </c>
      <c r="K244" s="18">
        <v>1</v>
      </c>
    </row>
    <row r="245" spans="1:11" ht="25.8" x14ac:dyDescent="0.5">
      <c r="A245" s="2">
        <v>2023</v>
      </c>
      <c r="B245" s="2" t="s">
        <v>50</v>
      </c>
      <c r="C245" s="2" t="s">
        <v>9</v>
      </c>
      <c r="D245" s="2" t="s">
        <v>161</v>
      </c>
      <c r="E245" s="2" t="s">
        <v>38</v>
      </c>
      <c r="F245" s="3">
        <v>206253.6</v>
      </c>
      <c r="G245" s="3">
        <v>839</v>
      </c>
      <c r="H245" s="3">
        <v>334</v>
      </c>
      <c r="I245" s="3" t="s">
        <v>253</v>
      </c>
      <c r="J245" s="18">
        <v>516</v>
      </c>
      <c r="K245" s="18">
        <v>1</v>
      </c>
    </row>
    <row r="246" spans="1:11" ht="25.8" x14ac:dyDescent="0.5">
      <c r="A246" s="2">
        <v>2023</v>
      </c>
      <c r="B246" s="2" t="s">
        <v>8</v>
      </c>
      <c r="C246" s="2" t="s">
        <v>9</v>
      </c>
      <c r="D246" s="2" t="s">
        <v>97</v>
      </c>
      <c r="E246" s="2" t="s">
        <v>20</v>
      </c>
      <c r="F246" s="3">
        <v>209059.20000000001</v>
      </c>
      <c r="G246" s="3">
        <v>568</v>
      </c>
      <c r="H246" s="3">
        <v>505</v>
      </c>
      <c r="I246" s="3" t="s">
        <v>254</v>
      </c>
      <c r="J246" s="18">
        <v>1192</v>
      </c>
      <c r="K246" s="18">
        <v>1</v>
      </c>
    </row>
    <row r="247" spans="1:11" ht="25.8" x14ac:dyDescent="0.5">
      <c r="A247" s="2">
        <v>2023</v>
      </c>
      <c r="B247" s="2" t="s">
        <v>15</v>
      </c>
      <c r="C247" s="2" t="s">
        <v>9</v>
      </c>
      <c r="D247" s="2" t="s">
        <v>43</v>
      </c>
      <c r="E247" s="2" t="s">
        <v>38</v>
      </c>
      <c r="F247" s="3">
        <v>214867.296</v>
      </c>
      <c r="G247" s="3">
        <v>287</v>
      </c>
      <c r="H247" s="3">
        <v>744</v>
      </c>
      <c r="I247" s="3" t="s">
        <v>255</v>
      </c>
      <c r="J247" s="18">
        <v>966</v>
      </c>
      <c r="K247" s="18">
        <v>1</v>
      </c>
    </row>
    <row r="248" spans="1:11" ht="25.8" x14ac:dyDescent="0.5">
      <c r="A248" s="2">
        <v>2023</v>
      </c>
      <c r="B248" s="2" t="s">
        <v>29</v>
      </c>
      <c r="C248" s="2" t="s">
        <v>9</v>
      </c>
      <c r="D248" s="2" t="s">
        <v>28</v>
      </c>
      <c r="E248" s="2" t="s">
        <v>22</v>
      </c>
      <c r="F248" s="3">
        <v>219683.52</v>
      </c>
      <c r="G248" s="3">
        <v>610</v>
      </c>
      <c r="H248" s="3">
        <v>970</v>
      </c>
      <c r="I248" s="3" t="s">
        <v>256</v>
      </c>
      <c r="J248" s="18">
        <v>1593</v>
      </c>
      <c r="K248" s="18">
        <v>1</v>
      </c>
    </row>
    <row r="249" spans="1:11" ht="25.8" x14ac:dyDescent="0.5">
      <c r="A249" s="2">
        <v>2023</v>
      </c>
      <c r="B249" s="2" t="s">
        <v>54</v>
      </c>
      <c r="C249" s="2" t="s">
        <v>9</v>
      </c>
      <c r="D249" s="2" t="s">
        <v>46</v>
      </c>
      <c r="E249" s="2" t="s">
        <v>14</v>
      </c>
      <c r="F249" s="3">
        <v>222753.88800000001</v>
      </c>
      <c r="G249" s="3">
        <v>577</v>
      </c>
      <c r="H249" s="3">
        <v>175</v>
      </c>
      <c r="I249" s="3" t="s">
        <v>257</v>
      </c>
      <c r="J249" s="18">
        <v>392</v>
      </c>
      <c r="K249" s="18">
        <v>1</v>
      </c>
    </row>
    <row r="250" spans="1:11" ht="25.8" x14ac:dyDescent="0.5">
      <c r="A250" s="2">
        <v>2023</v>
      </c>
      <c r="B250" s="2" t="s">
        <v>23</v>
      </c>
      <c r="C250" s="2" t="s">
        <v>9</v>
      </c>
      <c r="D250" s="2" t="s">
        <v>136</v>
      </c>
      <c r="E250" s="2" t="s">
        <v>20</v>
      </c>
      <c r="F250" s="3">
        <v>225676.64</v>
      </c>
      <c r="G250" s="3">
        <v>795</v>
      </c>
      <c r="H250" s="3">
        <v>469</v>
      </c>
      <c r="I250" s="3" t="s">
        <v>258</v>
      </c>
      <c r="J250" s="18">
        <v>937</v>
      </c>
      <c r="K250" s="18">
        <v>1</v>
      </c>
    </row>
    <row r="251" spans="1:11" ht="25.8" x14ac:dyDescent="0.5">
      <c r="A251" s="2">
        <v>2023</v>
      </c>
      <c r="B251" s="2" t="s">
        <v>8</v>
      </c>
      <c r="C251" s="2" t="s">
        <v>9</v>
      </c>
      <c r="D251" s="2" t="s">
        <v>192</v>
      </c>
      <c r="E251" s="2" t="s">
        <v>17</v>
      </c>
      <c r="F251" s="3">
        <v>225783.93600000002</v>
      </c>
      <c r="G251" s="3">
        <v>749</v>
      </c>
      <c r="H251" s="3">
        <v>648</v>
      </c>
      <c r="I251" s="3" t="s">
        <v>259</v>
      </c>
      <c r="J251" s="18">
        <v>1499</v>
      </c>
      <c r="K251" s="18">
        <v>1</v>
      </c>
    </row>
    <row r="252" spans="1:11" ht="25.8" x14ac:dyDescent="0.5">
      <c r="A252" s="2">
        <v>2023</v>
      </c>
      <c r="B252" s="2" t="s">
        <v>29</v>
      </c>
      <c r="C252" s="2" t="s">
        <v>9</v>
      </c>
      <c r="D252" s="2" t="s">
        <v>158</v>
      </c>
      <c r="E252" s="2" t="s">
        <v>22</v>
      </c>
      <c r="F252" s="3">
        <v>230400.8</v>
      </c>
      <c r="G252" s="3">
        <v>287</v>
      </c>
      <c r="H252" s="3">
        <v>744</v>
      </c>
      <c r="I252" s="3" t="s">
        <v>260</v>
      </c>
      <c r="J252" s="18">
        <v>1236</v>
      </c>
      <c r="K252" s="18">
        <v>1</v>
      </c>
    </row>
    <row r="253" spans="1:11" ht="25.8" x14ac:dyDescent="0.5">
      <c r="A253" s="2">
        <v>2023</v>
      </c>
      <c r="B253" s="2" t="s">
        <v>50</v>
      </c>
      <c r="C253" s="2" t="s">
        <v>9</v>
      </c>
      <c r="D253" s="2" t="s">
        <v>77</v>
      </c>
      <c r="E253" s="2" t="s">
        <v>35</v>
      </c>
      <c r="F253" s="3">
        <v>234766.56</v>
      </c>
      <c r="G253" s="3">
        <v>968</v>
      </c>
      <c r="H253" s="3">
        <v>330</v>
      </c>
      <c r="I253" s="3" t="s">
        <v>261</v>
      </c>
      <c r="J253" s="18">
        <v>364</v>
      </c>
      <c r="K253" s="18">
        <v>1</v>
      </c>
    </row>
    <row r="254" spans="1:11" ht="25.8" x14ac:dyDescent="0.5">
      <c r="A254" s="2">
        <v>2023</v>
      </c>
      <c r="B254" s="2" t="s">
        <v>50</v>
      </c>
      <c r="C254" s="2" t="s">
        <v>9</v>
      </c>
      <c r="D254" s="2" t="s">
        <v>52</v>
      </c>
      <c r="E254" s="2" t="s">
        <v>20</v>
      </c>
      <c r="F254" s="3">
        <v>237258.2016</v>
      </c>
      <c r="G254" s="3">
        <v>784</v>
      </c>
      <c r="H254" s="3">
        <v>540</v>
      </c>
      <c r="I254" s="3" t="s">
        <v>250</v>
      </c>
      <c r="J254" s="18">
        <v>1310</v>
      </c>
      <c r="K254" s="18">
        <v>1</v>
      </c>
    </row>
    <row r="255" spans="1:11" ht="25.8" x14ac:dyDescent="0.5">
      <c r="A255" s="2">
        <v>2023</v>
      </c>
      <c r="B255" s="2" t="s">
        <v>50</v>
      </c>
      <c r="C255" s="2" t="s">
        <v>9</v>
      </c>
      <c r="D255" s="2" t="s">
        <v>126</v>
      </c>
      <c r="E255" s="2" t="s">
        <v>20</v>
      </c>
      <c r="F255" s="3">
        <v>238955.36</v>
      </c>
      <c r="G255" s="3">
        <v>968</v>
      </c>
      <c r="H255" s="3">
        <v>330</v>
      </c>
      <c r="I255" s="3" t="s">
        <v>251</v>
      </c>
      <c r="J255" s="18">
        <v>427</v>
      </c>
      <c r="K255" s="18">
        <v>1</v>
      </c>
    </row>
    <row r="256" spans="1:11" ht="25.8" x14ac:dyDescent="0.5">
      <c r="A256" s="2">
        <v>2023</v>
      </c>
      <c r="B256" s="2" t="s">
        <v>50</v>
      </c>
      <c r="C256" s="2" t="s">
        <v>9</v>
      </c>
      <c r="D256" s="2" t="s">
        <v>16</v>
      </c>
      <c r="E256" s="2" t="s">
        <v>14</v>
      </c>
      <c r="F256" s="3">
        <v>244617.408</v>
      </c>
      <c r="G256" s="3">
        <v>413</v>
      </c>
      <c r="H256" s="3">
        <v>930</v>
      </c>
      <c r="I256" s="3" t="s">
        <v>252</v>
      </c>
      <c r="J256" s="18">
        <v>2041</v>
      </c>
      <c r="K256" s="18">
        <v>1</v>
      </c>
    </row>
    <row r="257" spans="1:11" ht="25.8" x14ac:dyDescent="0.5">
      <c r="A257" s="2">
        <v>2023</v>
      </c>
      <c r="B257" s="2" t="s">
        <v>59</v>
      </c>
      <c r="C257" s="2" t="s">
        <v>9</v>
      </c>
      <c r="D257" s="2" t="s">
        <v>44</v>
      </c>
      <c r="E257" s="2" t="s">
        <v>26</v>
      </c>
      <c r="F257" s="3">
        <v>250257.28</v>
      </c>
      <c r="G257" s="3">
        <v>168</v>
      </c>
      <c r="H257" s="3">
        <v>97</v>
      </c>
      <c r="I257" s="3" t="s">
        <v>253</v>
      </c>
      <c r="J257" s="18">
        <v>120</v>
      </c>
      <c r="K257" s="18">
        <v>1</v>
      </c>
    </row>
    <row r="258" spans="1:11" ht="25.8" x14ac:dyDescent="0.5">
      <c r="A258" s="2">
        <v>2023</v>
      </c>
      <c r="B258" s="2" t="s">
        <v>8</v>
      </c>
      <c r="C258" s="2" t="s">
        <v>9</v>
      </c>
      <c r="D258" s="2" t="s">
        <v>56</v>
      </c>
      <c r="E258" s="2" t="s">
        <v>22</v>
      </c>
      <c r="F258" s="3">
        <v>253547.8848</v>
      </c>
      <c r="G258" s="3">
        <v>403</v>
      </c>
      <c r="H258" s="3">
        <v>953</v>
      </c>
      <c r="I258" s="3" t="s">
        <v>254</v>
      </c>
      <c r="J258" s="18">
        <v>2119</v>
      </c>
      <c r="K258" s="18">
        <v>1</v>
      </c>
    </row>
    <row r="259" spans="1:11" ht="25.8" x14ac:dyDescent="0.5">
      <c r="A259" s="2">
        <v>2023</v>
      </c>
      <c r="B259" s="2" t="s">
        <v>29</v>
      </c>
      <c r="C259" s="2" t="s">
        <v>9</v>
      </c>
      <c r="D259" s="2" t="s">
        <v>174</v>
      </c>
      <c r="E259" s="2" t="s">
        <v>17</v>
      </c>
      <c r="F259" s="3">
        <v>255250.24</v>
      </c>
      <c r="G259" s="3">
        <v>610</v>
      </c>
      <c r="H259" s="3">
        <v>970</v>
      </c>
      <c r="I259" s="3" t="s">
        <v>255</v>
      </c>
      <c r="J259" s="18">
        <v>1114</v>
      </c>
      <c r="K259" s="18">
        <v>1</v>
      </c>
    </row>
    <row r="260" spans="1:11" ht="25.8" x14ac:dyDescent="0.5">
      <c r="A260" s="2">
        <v>2023</v>
      </c>
      <c r="B260" s="2" t="s">
        <v>8</v>
      </c>
      <c r="C260" s="2" t="s">
        <v>9</v>
      </c>
      <c r="D260" s="2" t="s">
        <v>57</v>
      </c>
      <c r="E260" s="2" t="s">
        <v>20</v>
      </c>
      <c r="F260" s="3">
        <v>258071.78879999998</v>
      </c>
      <c r="G260" s="3">
        <v>287</v>
      </c>
      <c r="H260" s="3">
        <v>744</v>
      </c>
      <c r="I260" s="3" t="s">
        <v>256</v>
      </c>
      <c r="J260" s="18">
        <v>1532</v>
      </c>
      <c r="K260" s="18">
        <v>1</v>
      </c>
    </row>
    <row r="261" spans="1:11" ht="25.8" x14ac:dyDescent="0.5">
      <c r="A261" s="2">
        <v>2023</v>
      </c>
      <c r="B261" s="2" t="s">
        <v>29</v>
      </c>
      <c r="C261" s="2" t="s">
        <v>9</v>
      </c>
      <c r="D261" s="2" t="s">
        <v>135</v>
      </c>
      <c r="E261" s="2" t="s">
        <v>22</v>
      </c>
      <c r="F261" s="3">
        <v>263220.15999999997</v>
      </c>
      <c r="G261" s="3">
        <v>287</v>
      </c>
      <c r="H261" s="3">
        <v>744</v>
      </c>
      <c r="I261" s="3" t="s">
        <v>257</v>
      </c>
      <c r="J261" s="18">
        <v>1052</v>
      </c>
      <c r="K261" s="18">
        <v>1</v>
      </c>
    </row>
    <row r="262" spans="1:11" ht="25.8" x14ac:dyDescent="0.5">
      <c r="A262" s="2">
        <v>2023</v>
      </c>
      <c r="B262" s="2" t="s">
        <v>23</v>
      </c>
      <c r="C262" s="2" t="s">
        <v>9</v>
      </c>
      <c r="D262" s="2" t="s">
        <v>60</v>
      </c>
      <c r="E262" s="2" t="s">
        <v>35</v>
      </c>
      <c r="F262" s="3">
        <v>270277.86239999998</v>
      </c>
      <c r="G262" s="3">
        <v>784</v>
      </c>
      <c r="H262" s="3">
        <v>540</v>
      </c>
      <c r="I262" s="3" t="s">
        <v>258</v>
      </c>
      <c r="J262" s="18">
        <v>984</v>
      </c>
      <c r="K262" s="18">
        <v>1</v>
      </c>
    </row>
    <row r="263" spans="1:11" ht="25.8" x14ac:dyDescent="0.5">
      <c r="A263" s="2">
        <v>2023</v>
      </c>
      <c r="B263" s="2" t="s">
        <v>15</v>
      </c>
      <c r="C263" s="2" t="s">
        <v>9</v>
      </c>
      <c r="D263" s="2" t="s">
        <v>93</v>
      </c>
      <c r="E263" s="2" t="s">
        <v>35</v>
      </c>
      <c r="F263" s="3">
        <v>275480.8</v>
      </c>
      <c r="G263" s="3">
        <v>597</v>
      </c>
      <c r="H263" s="3">
        <v>287</v>
      </c>
      <c r="I263" s="3" t="s">
        <v>259</v>
      </c>
      <c r="J263" s="18">
        <v>661</v>
      </c>
      <c r="K263" s="18">
        <v>1</v>
      </c>
    </row>
    <row r="264" spans="1:11" ht="25.8" x14ac:dyDescent="0.5">
      <c r="A264" s="2">
        <v>2023</v>
      </c>
      <c r="B264" s="2" t="s">
        <v>59</v>
      </c>
      <c r="C264" s="2" t="s">
        <v>9</v>
      </c>
      <c r="D264" s="2" t="s">
        <v>61</v>
      </c>
      <c r="E264" s="2" t="s">
        <v>22</v>
      </c>
      <c r="F264" s="3">
        <v>275670.25919999997</v>
      </c>
      <c r="G264" s="3">
        <v>749</v>
      </c>
      <c r="H264" s="3">
        <v>648</v>
      </c>
      <c r="I264" s="3" t="s">
        <v>260</v>
      </c>
      <c r="J264" s="18">
        <v>1032</v>
      </c>
      <c r="K264" s="18">
        <v>1</v>
      </c>
    </row>
    <row r="265" spans="1:11" ht="25.8" x14ac:dyDescent="0.5">
      <c r="A265" s="2">
        <v>2023</v>
      </c>
      <c r="B265" s="2" t="s">
        <v>8</v>
      </c>
      <c r="C265" s="2" t="s">
        <v>9</v>
      </c>
      <c r="D265" s="2" t="s">
        <v>62</v>
      </c>
      <c r="E265" s="2" t="s">
        <v>14</v>
      </c>
      <c r="F265" s="3">
        <v>284277.77279999998</v>
      </c>
      <c r="G265" s="3">
        <v>839</v>
      </c>
      <c r="H265" s="3">
        <v>983</v>
      </c>
      <c r="I265" s="3" t="s">
        <v>261</v>
      </c>
      <c r="J265" s="18">
        <v>2195</v>
      </c>
      <c r="K265" s="18">
        <v>1</v>
      </c>
    </row>
    <row r="266" spans="1:11" ht="25.8" x14ac:dyDescent="0.5">
      <c r="A266" s="2">
        <v>2023</v>
      </c>
      <c r="B266" s="2" t="s">
        <v>23</v>
      </c>
      <c r="C266" s="2" t="s">
        <v>9</v>
      </c>
      <c r="D266" s="2" t="s">
        <v>147</v>
      </c>
      <c r="E266" s="2" t="s">
        <v>35</v>
      </c>
      <c r="F266" s="3">
        <v>306653.76</v>
      </c>
      <c r="G266" s="3">
        <v>968</v>
      </c>
      <c r="H266" s="3">
        <v>330</v>
      </c>
      <c r="I266" s="3" t="s">
        <v>250</v>
      </c>
      <c r="J266" s="18">
        <v>716</v>
      </c>
      <c r="K266" s="18">
        <v>1</v>
      </c>
    </row>
    <row r="267" spans="1:11" ht="25.8" x14ac:dyDescent="0.5">
      <c r="A267" s="2">
        <v>2023</v>
      </c>
      <c r="B267" s="2" t="s">
        <v>8</v>
      </c>
      <c r="C267" s="2" t="s">
        <v>9</v>
      </c>
      <c r="D267" s="2" t="s">
        <v>134</v>
      </c>
      <c r="E267" s="2" t="s">
        <v>22</v>
      </c>
      <c r="F267" s="3">
        <v>306653.76</v>
      </c>
      <c r="G267" s="3">
        <v>93</v>
      </c>
      <c r="H267" s="3">
        <v>852</v>
      </c>
      <c r="I267" s="3" t="s">
        <v>251</v>
      </c>
      <c r="J267" s="18">
        <v>2011</v>
      </c>
      <c r="K267" s="18">
        <v>1</v>
      </c>
    </row>
    <row r="268" spans="1:11" ht="25.8" x14ac:dyDescent="0.5">
      <c r="A268" s="2">
        <v>2023</v>
      </c>
      <c r="B268" s="2" t="s">
        <v>59</v>
      </c>
      <c r="C268" s="2" t="s">
        <v>9</v>
      </c>
      <c r="D268" s="2" t="s">
        <v>70</v>
      </c>
      <c r="E268" s="2" t="s">
        <v>20</v>
      </c>
      <c r="F268" s="3">
        <v>318852.9792</v>
      </c>
      <c r="G268" s="3">
        <v>692</v>
      </c>
      <c r="H268" s="3">
        <v>300</v>
      </c>
      <c r="I268" s="3" t="s">
        <v>252</v>
      </c>
      <c r="J268" s="18">
        <v>430</v>
      </c>
      <c r="K268" s="18">
        <v>1</v>
      </c>
    </row>
    <row r="269" spans="1:11" ht="25.8" x14ac:dyDescent="0.5">
      <c r="A269" s="2">
        <v>2023</v>
      </c>
      <c r="B269" s="2" t="s">
        <v>27</v>
      </c>
      <c r="C269" s="2" t="s">
        <v>9</v>
      </c>
      <c r="D269" s="2" t="s">
        <v>193</v>
      </c>
      <c r="E269" s="2" t="s">
        <v>22</v>
      </c>
      <c r="F269" s="3">
        <v>331186.06080000004</v>
      </c>
      <c r="G269" s="3">
        <v>312</v>
      </c>
      <c r="H269" s="3">
        <v>983</v>
      </c>
      <c r="I269" s="3" t="s">
        <v>253</v>
      </c>
      <c r="J269" s="18">
        <v>2229</v>
      </c>
      <c r="K269" s="18">
        <v>1</v>
      </c>
    </row>
    <row r="270" spans="1:11" ht="25.8" x14ac:dyDescent="0.5">
      <c r="A270" s="2">
        <v>2023</v>
      </c>
      <c r="B270" s="2" t="s">
        <v>12</v>
      </c>
      <c r="C270" s="2" t="s">
        <v>9</v>
      </c>
      <c r="D270" s="2" t="s">
        <v>73</v>
      </c>
      <c r="E270" s="2" t="s">
        <v>20</v>
      </c>
      <c r="F270" s="3">
        <v>331186.06080000004</v>
      </c>
      <c r="G270" s="3">
        <v>93</v>
      </c>
      <c r="H270" s="3">
        <v>852</v>
      </c>
      <c r="I270" s="3" t="s">
        <v>254</v>
      </c>
      <c r="J270" s="18">
        <v>1616</v>
      </c>
      <c r="K270" s="18">
        <v>1</v>
      </c>
    </row>
    <row r="271" spans="1:11" ht="25.8" x14ac:dyDescent="0.5">
      <c r="A271" s="2">
        <v>2023</v>
      </c>
      <c r="B271" s="2" t="s">
        <v>50</v>
      </c>
      <c r="C271" s="2" t="s">
        <v>9</v>
      </c>
      <c r="D271" s="2" t="s">
        <v>78</v>
      </c>
      <c r="E271" s="2" t="s">
        <v>22</v>
      </c>
      <c r="F271" s="3">
        <v>340865.28000000003</v>
      </c>
      <c r="G271" s="3">
        <v>968</v>
      </c>
      <c r="H271" s="3">
        <v>330</v>
      </c>
      <c r="I271" s="3" t="s">
        <v>255</v>
      </c>
      <c r="J271" s="18">
        <v>715</v>
      </c>
      <c r="K271" s="18">
        <v>1</v>
      </c>
    </row>
    <row r="272" spans="1:11" ht="25.8" x14ac:dyDescent="0.5">
      <c r="A272" s="2">
        <v>2023</v>
      </c>
      <c r="B272" s="2" t="s">
        <v>54</v>
      </c>
      <c r="C272" s="2" t="s">
        <v>9</v>
      </c>
      <c r="D272" s="2" t="s">
        <v>85</v>
      </c>
      <c r="E272" s="2" t="s">
        <v>26</v>
      </c>
      <c r="F272" s="3">
        <v>343524.16</v>
      </c>
      <c r="G272" s="3">
        <v>749</v>
      </c>
      <c r="H272" s="3">
        <v>648</v>
      </c>
      <c r="I272" s="3" t="s">
        <v>256</v>
      </c>
      <c r="J272" s="18">
        <v>1310</v>
      </c>
      <c r="K272" s="18">
        <v>1</v>
      </c>
    </row>
    <row r="273" spans="1:11" ht="25.8" x14ac:dyDescent="0.5">
      <c r="A273" s="2">
        <v>2023</v>
      </c>
      <c r="B273" s="2" t="s">
        <v>29</v>
      </c>
      <c r="C273" s="2" t="s">
        <v>9</v>
      </c>
      <c r="D273" s="2" t="s">
        <v>91</v>
      </c>
      <c r="E273" s="2" t="s">
        <v>35</v>
      </c>
      <c r="F273" s="3">
        <v>352427.04</v>
      </c>
      <c r="G273" s="3">
        <v>413</v>
      </c>
      <c r="H273" s="3">
        <v>930</v>
      </c>
      <c r="I273" s="3" t="s">
        <v>257</v>
      </c>
      <c r="J273" s="18">
        <v>1624</v>
      </c>
      <c r="K273" s="18">
        <v>1</v>
      </c>
    </row>
    <row r="274" spans="1:11" ht="25.8" x14ac:dyDescent="0.5">
      <c r="A274" s="2">
        <v>2023</v>
      </c>
      <c r="B274" s="2" t="s">
        <v>29</v>
      </c>
      <c r="C274" s="2" t="s">
        <v>9</v>
      </c>
      <c r="D274" s="2" t="s">
        <v>171</v>
      </c>
      <c r="E274" s="2" t="s">
        <v>66</v>
      </c>
      <c r="F274" s="3">
        <v>356908.16</v>
      </c>
      <c r="G274" s="3">
        <v>930</v>
      </c>
      <c r="H274" s="3">
        <v>563</v>
      </c>
      <c r="I274" s="3" t="s">
        <v>258</v>
      </c>
      <c r="J274" s="18">
        <v>1281</v>
      </c>
      <c r="K274" s="18">
        <v>1</v>
      </c>
    </row>
    <row r="275" spans="1:11" ht="25.8" x14ac:dyDescent="0.5">
      <c r="A275" s="2">
        <v>2023</v>
      </c>
      <c r="B275" s="2" t="s">
        <v>12</v>
      </c>
      <c r="C275" s="2" t="s">
        <v>9</v>
      </c>
      <c r="D275" s="2" t="s">
        <v>86</v>
      </c>
      <c r="E275" s="2" t="s">
        <v>35</v>
      </c>
      <c r="F275" s="3">
        <v>367728.48</v>
      </c>
      <c r="G275" s="3">
        <v>168</v>
      </c>
      <c r="H275" s="3">
        <v>97</v>
      </c>
      <c r="I275" s="3" t="s">
        <v>259</v>
      </c>
      <c r="J275" s="18">
        <v>111</v>
      </c>
      <c r="K275" s="18">
        <v>1</v>
      </c>
    </row>
    <row r="276" spans="1:11" ht="25.8" x14ac:dyDescent="0.5">
      <c r="A276" s="2">
        <v>2023</v>
      </c>
      <c r="B276" s="2" t="s">
        <v>50</v>
      </c>
      <c r="C276" s="2" t="s">
        <v>9</v>
      </c>
      <c r="D276" s="2" t="s">
        <v>75</v>
      </c>
      <c r="E276" s="2" t="s">
        <v>17</v>
      </c>
      <c r="F276" s="3">
        <v>368134.50240000006</v>
      </c>
      <c r="G276" s="3">
        <v>93</v>
      </c>
      <c r="H276" s="3">
        <v>852</v>
      </c>
      <c r="I276" s="3" t="s">
        <v>260</v>
      </c>
      <c r="J276" s="18">
        <v>1292</v>
      </c>
      <c r="K276" s="18">
        <v>1</v>
      </c>
    </row>
    <row r="277" spans="1:11" ht="25.8" x14ac:dyDescent="0.5">
      <c r="A277" s="2">
        <v>2023</v>
      </c>
      <c r="B277" s="2" t="s">
        <v>50</v>
      </c>
      <c r="C277" s="2" t="s">
        <v>9</v>
      </c>
      <c r="D277" s="2" t="s">
        <v>79</v>
      </c>
      <c r="E277" s="2" t="s">
        <v>35</v>
      </c>
      <c r="F277" s="3">
        <v>396397.12</v>
      </c>
      <c r="G277" s="3">
        <v>839</v>
      </c>
      <c r="H277" s="3">
        <v>334</v>
      </c>
      <c r="I277" s="3" t="s">
        <v>261</v>
      </c>
      <c r="J277" s="18">
        <v>510</v>
      </c>
      <c r="K277" s="18">
        <v>1</v>
      </c>
    </row>
    <row r="278" spans="1:11" ht="25.8" x14ac:dyDescent="0.5">
      <c r="A278" s="2">
        <v>2023</v>
      </c>
      <c r="B278" s="2" t="s">
        <v>50</v>
      </c>
      <c r="C278" s="2" t="s">
        <v>9</v>
      </c>
      <c r="D278" s="2" t="s">
        <v>69</v>
      </c>
      <c r="E278" s="2" t="s">
        <v>20</v>
      </c>
      <c r="F278" s="3">
        <v>396397.12</v>
      </c>
      <c r="G278" s="3">
        <v>968</v>
      </c>
      <c r="H278" s="3">
        <v>330</v>
      </c>
      <c r="I278" s="3" t="s">
        <v>250</v>
      </c>
      <c r="J278" s="18">
        <v>600</v>
      </c>
      <c r="K278" s="18">
        <v>1</v>
      </c>
    </row>
    <row r="279" spans="1:11" ht="25.8" x14ac:dyDescent="0.5">
      <c r="A279" s="2">
        <v>2023</v>
      </c>
      <c r="B279" s="2" t="s">
        <v>23</v>
      </c>
      <c r="C279" s="2" t="s">
        <v>9</v>
      </c>
      <c r="D279" s="2" t="s">
        <v>104</v>
      </c>
      <c r="E279" s="2" t="s">
        <v>11</v>
      </c>
      <c r="F279" s="3">
        <v>396397.12</v>
      </c>
      <c r="G279" s="3">
        <v>210</v>
      </c>
      <c r="H279" s="3">
        <v>177</v>
      </c>
      <c r="I279" s="3" t="s">
        <v>251</v>
      </c>
      <c r="J279" s="18">
        <v>396</v>
      </c>
      <c r="K279" s="18">
        <v>1</v>
      </c>
    </row>
    <row r="280" spans="1:11" ht="25.8" x14ac:dyDescent="0.5">
      <c r="A280" s="2">
        <v>2023</v>
      </c>
      <c r="B280" s="2" t="s">
        <v>50</v>
      </c>
      <c r="C280" s="2" t="s">
        <v>9</v>
      </c>
      <c r="D280" s="2" t="s">
        <v>109</v>
      </c>
      <c r="E280" s="2" t="s">
        <v>11</v>
      </c>
      <c r="F280" s="3">
        <v>405587.83999999997</v>
      </c>
      <c r="G280" s="3">
        <v>839</v>
      </c>
      <c r="H280" s="3">
        <v>334</v>
      </c>
      <c r="I280" s="3" t="s">
        <v>252</v>
      </c>
      <c r="J280" s="18">
        <v>442</v>
      </c>
      <c r="K280" s="18">
        <v>1</v>
      </c>
    </row>
    <row r="281" spans="1:11" ht="25.8" x14ac:dyDescent="0.5">
      <c r="A281" s="2">
        <v>2023</v>
      </c>
      <c r="B281" s="2" t="s">
        <v>23</v>
      </c>
      <c r="C281" s="2" t="s">
        <v>9</v>
      </c>
      <c r="D281" s="2" t="s">
        <v>84</v>
      </c>
      <c r="E281" s="2" t="s">
        <v>35</v>
      </c>
      <c r="F281" s="3">
        <v>419813.45279999997</v>
      </c>
      <c r="G281" s="3">
        <v>784</v>
      </c>
      <c r="H281" s="3">
        <v>540</v>
      </c>
      <c r="I281" s="3" t="s">
        <v>253</v>
      </c>
      <c r="J281" s="18">
        <v>740</v>
      </c>
      <c r="K281" s="18">
        <v>1</v>
      </c>
    </row>
    <row r="282" spans="1:11" ht="25.8" x14ac:dyDescent="0.5">
      <c r="A282" s="2">
        <v>2023</v>
      </c>
      <c r="B282" s="2" t="s">
        <v>23</v>
      </c>
      <c r="C282" s="2" t="s">
        <v>9</v>
      </c>
      <c r="D282" s="2" t="s">
        <v>176</v>
      </c>
      <c r="E282" s="2" t="s">
        <v>17</v>
      </c>
      <c r="F282" s="3">
        <v>421710.24</v>
      </c>
      <c r="G282" s="3">
        <v>312</v>
      </c>
      <c r="H282" s="3">
        <v>983</v>
      </c>
      <c r="I282" s="3" t="s">
        <v>254</v>
      </c>
      <c r="J282" s="18">
        <v>1395</v>
      </c>
      <c r="K282" s="18">
        <v>1</v>
      </c>
    </row>
    <row r="283" spans="1:11" ht="25.8" x14ac:dyDescent="0.5">
      <c r="A283" s="2">
        <v>2023</v>
      </c>
      <c r="B283" s="2" t="s">
        <v>27</v>
      </c>
      <c r="C283" s="2" t="s">
        <v>9</v>
      </c>
      <c r="D283" s="2" t="s">
        <v>194</v>
      </c>
      <c r="E283" s="2" t="s">
        <v>20</v>
      </c>
      <c r="F283" s="3">
        <v>428108.88959999999</v>
      </c>
      <c r="G283" s="3">
        <v>784</v>
      </c>
      <c r="H283" s="3">
        <v>540</v>
      </c>
      <c r="I283" s="3" t="s">
        <v>255</v>
      </c>
      <c r="J283" s="18">
        <v>1153</v>
      </c>
      <c r="K283" s="18">
        <v>1</v>
      </c>
    </row>
    <row r="284" spans="1:11" ht="25.8" x14ac:dyDescent="0.5">
      <c r="A284" s="2">
        <v>2023</v>
      </c>
      <c r="B284" s="2" t="s">
        <v>12</v>
      </c>
      <c r="C284" s="2" t="s">
        <v>9</v>
      </c>
      <c r="D284" s="2" t="s">
        <v>138</v>
      </c>
      <c r="E284" s="2" t="s">
        <v>35</v>
      </c>
      <c r="F284" s="3">
        <v>439391.68</v>
      </c>
      <c r="G284" s="3">
        <v>872</v>
      </c>
      <c r="H284" s="3">
        <v>249</v>
      </c>
      <c r="I284" s="3" t="s">
        <v>256</v>
      </c>
      <c r="J284" s="18">
        <v>453</v>
      </c>
      <c r="K284" s="18">
        <v>1</v>
      </c>
    </row>
    <row r="285" spans="1:11" ht="25.8" x14ac:dyDescent="0.5">
      <c r="A285" s="2">
        <v>2023</v>
      </c>
      <c r="B285" s="2" t="s">
        <v>50</v>
      </c>
      <c r="C285" s="2" t="s">
        <v>9</v>
      </c>
      <c r="D285" s="2" t="s">
        <v>106</v>
      </c>
      <c r="E285" s="2" t="s">
        <v>17</v>
      </c>
      <c r="F285" s="3">
        <v>443828</v>
      </c>
      <c r="G285" s="3">
        <v>413</v>
      </c>
      <c r="H285" s="3">
        <v>930</v>
      </c>
      <c r="I285" s="3" t="s">
        <v>257</v>
      </c>
      <c r="J285" s="18">
        <v>1805</v>
      </c>
      <c r="K285" s="18">
        <v>1</v>
      </c>
    </row>
    <row r="286" spans="1:11" ht="25.8" x14ac:dyDescent="0.5">
      <c r="A286" s="2">
        <v>2023</v>
      </c>
      <c r="B286" s="2" t="s">
        <v>29</v>
      </c>
      <c r="C286" s="2" t="s">
        <v>9</v>
      </c>
      <c r="D286" s="2" t="s">
        <v>195</v>
      </c>
      <c r="E286" s="2" t="s">
        <v>17</v>
      </c>
      <c r="F286" s="3">
        <v>455447.05920000002</v>
      </c>
      <c r="G286" s="3">
        <v>795</v>
      </c>
      <c r="H286" s="3">
        <v>469</v>
      </c>
      <c r="I286" s="3" t="s">
        <v>258</v>
      </c>
      <c r="J286" s="18">
        <v>782</v>
      </c>
      <c r="K286" s="18">
        <v>1</v>
      </c>
    </row>
    <row r="287" spans="1:11" ht="25.8" x14ac:dyDescent="0.5">
      <c r="A287" s="2">
        <v>2023</v>
      </c>
      <c r="B287" s="2" t="s">
        <v>12</v>
      </c>
      <c r="C287" s="2" t="s">
        <v>9</v>
      </c>
      <c r="D287" s="2" t="s">
        <v>155</v>
      </c>
      <c r="E287" s="2" t="s">
        <v>26</v>
      </c>
      <c r="F287" s="3">
        <v>457304.96</v>
      </c>
      <c r="G287" s="3">
        <v>930</v>
      </c>
      <c r="H287" s="3">
        <v>563</v>
      </c>
      <c r="I287" s="3" t="s">
        <v>259</v>
      </c>
      <c r="J287" s="18">
        <v>1220</v>
      </c>
      <c r="K287" s="18">
        <v>1</v>
      </c>
    </row>
    <row r="288" spans="1:11" ht="25.8" x14ac:dyDescent="0.5">
      <c r="A288" s="2">
        <v>2023</v>
      </c>
      <c r="B288" s="2" t="s">
        <v>59</v>
      </c>
      <c r="C288" s="2" t="s">
        <v>9</v>
      </c>
      <c r="D288" s="2" t="s">
        <v>129</v>
      </c>
      <c r="E288" s="2" t="s">
        <v>22</v>
      </c>
      <c r="F288" s="3">
        <v>461137.6</v>
      </c>
      <c r="G288" s="3">
        <v>403</v>
      </c>
      <c r="H288" s="3">
        <v>953</v>
      </c>
      <c r="I288" s="3" t="s">
        <v>260</v>
      </c>
      <c r="J288" s="18">
        <v>1224</v>
      </c>
      <c r="K288" s="18">
        <v>1</v>
      </c>
    </row>
    <row r="289" spans="1:11" ht="25.8" x14ac:dyDescent="0.5">
      <c r="A289" s="2">
        <v>2023</v>
      </c>
      <c r="B289" s="2" t="s">
        <v>18</v>
      </c>
      <c r="C289" s="2" t="s">
        <v>9</v>
      </c>
      <c r="D289" s="2" t="s">
        <v>65</v>
      </c>
      <c r="E289" s="2" t="s">
        <v>35</v>
      </c>
      <c r="F289" s="3">
        <v>462946.4</v>
      </c>
      <c r="G289" s="3">
        <v>597</v>
      </c>
      <c r="H289" s="3">
        <v>287</v>
      </c>
      <c r="I289" s="3" t="s">
        <v>261</v>
      </c>
      <c r="J289" s="18">
        <v>434</v>
      </c>
      <c r="K289" s="18">
        <v>1</v>
      </c>
    </row>
    <row r="290" spans="1:11" ht="25.8" x14ac:dyDescent="0.5">
      <c r="A290" s="2">
        <v>2023</v>
      </c>
      <c r="B290" s="2" t="s">
        <v>27</v>
      </c>
      <c r="C290" s="2" t="s">
        <v>9</v>
      </c>
      <c r="D290" s="2" t="s">
        <v>196</v>
      </c>
      <c r="E290" s="2" t="s">
        <v>14</v>
      </c>
      <c r="F290" s="3">
        <v>466324.32</v>
      </c>
      <c r="G290" s="3">
        <v>597</v>
      </c>
      <c r="H290" s="3">
        <v>287</v>
      </c>
      <c r="I290" s="3" t="s">
        <v>250</v>
      </c>
      <c r="J290" s="18">
        <v>643</v>
      </c>
      <c r="K290" s="18">
        <v>1</v>
      </c>
    </row>
    <row r="291" spans="1:11" ht="25.8" x14ac:dyDescent="0.5">
      <c r="A291" s="2">
        <v>2023</v>
      </c>
      <c r="B291" s="2" t="s">
        <v>50</v>
      </c>
      <c r="C291" s="2" t="s">
        <v>9</v>
      </c>
      <c r="D291" s="2" t="s">
        <v>95</v>
      </c>
      <c r="E291" s="2" t="s">
        <v>66</v>
      </c>
      <c r="F291" s="3">
        <v>479334.24</v>
      </c>
      <c r="G291" s="3">
        <v>568</v>
      </c>
      <c r="H291" s="3">
        <v>505</v>
      </c>
      <c r="I291" s="3" t="s">
        <v>251</v>
      </c>
      <c r="J291" s="18">
        <v>560</v>
      </c>
      <c r="K291" s="18">
        <v>1</v>
      </c>
    </row>
    <row r="292" spans="1:11" ht="25.8" x14ac:dyDescent="0.5">
      <c r="A292" s="2">
        <v>2023</v>
      </c>
      <c r="B292" s="2" t="s">
        <v>29</v>
      </c>
      <c r="C292" s="2" t="s">
        <v>9</v>
      </c>
      <c r="D292" s="2" t="s">
        <v>197</v>
      </c>
      <c r="E292" s="2" t="s">
        <v>17</v>
      </c>
      <c r="F292" s="3">
        <v>480165.28</v>
      </c>
      <c r="G292" s="3">
        <v>568</v>
      </c>
      <c r="H292" s="3">
        <v>505</v>
      </c>
      <c r="I292" s="3" t="s">
        <v>252</v>
      </c>
      <c r="J292" s="18">
        <v>1131</v>
      </c>
      <c r="K292" s="18">
        <v>1</v>
      </c>
    </row>
    <row r="293" spans="1:11" ht="25.8" x14ac:dyDescent="0.5">
      <c r="A293" s="2">
        <v>2023</v>
      </c>
      <c r="B293" s="2" t="s">
        <v>59</v>
      </c>
      <c r="C293" s="2" t="s">
        <v>9</v>
      </c>
      <c r="D293" s="2" t="s">
        <v>127</v>
      </c>
      <c r="E293" s="2" t="s">
        <v>26</v>
      </c>
      <c r="F293" s="3">
        <v>482446.72</v>
      </c>
      <c r="G293" s="3">
        <v>168</v>
      </c>
      <c r="H293" s="3">
        <v>97</v>
      </c>
      <c r="I293" s="3" t="s">
        <v>253</v>
      </c>
      <c r="J293" s="18">
        <v>225</v>
      </c>
      <c r="K293" s="18">
        <v>1</v>
      </c>
    </row>
    <row r="294" spans="1:11" ht="25.8" x14ac:dyDescent="0.5">
      <c r="A294" s="2">
        <v>2023</v>
      </c>
      <c r="B294" s="2" t="s">
        <v>50</v>
      </c>
      <c r="C294" s="2" t="s">
        <v>9</v>
      </c>
      <c r="D294" s="2" t="s">
        <v>49</v>
      </c>
      <c r="E294" s="2" t="s">
        <v>22</v>
      </c>
      <c r="F294" s="3">
        <v>482446.72</v>
      </c>
      <c r="G294" s="3">
        <v>839</v>
      </c>
      <c r="H294" s="3">
        <v>983</v>
      </c>
      <c r="I294" s="3" t="s">
        <v>254</v>
      </c>
      <c r="J294" s="18">
        <v>1522</v>
      </c>
      <c r="K294" s="18">
        <v>1</v>
      </c>
    </row>
    <row r="295" spans="1:11" ht="25.8" x14ac:dyDescent="0.5">
      <c r="A295" s="2">
        <v>2023</v>
      </c>
      <c r="B295" s="2" t="s">
        <v>50</v>
      </c>
      <c r="C295" s="2" t="s">
        <v>9</v>
      </c>
      <c r="D295" s="2" t="s">
        <v>123</v>
      </c>
      <c r="E295" s="2" t="s">
        <v>20</v>
      </c>
      <c r="F295" s="3">
        <v>483679.83999999997</v>
      </c>
      <c r="G295" s="3">
        <v>839</v>
      </c>
      <c r="H295" s="3">
        <v>334</v>
      </c>
      <c r="I295" s="3" t="s">
        <v>255</v>
      </c>
      <c r="J295" s="18">
        <v>790</v>
      </c>
      <c r="K295" s="18">
        <v>1</v>
      </c>
    </row>
    <row r="296" spans="1:11" ht="25.8" x14ac:dyDescent="0.5">
      <c r="A296" s="2">
        <v>2023</v>
      </c>
      <c r="B296" s="2" t="s">
        <v>27</v>
      </c>
      <c r="C296" s="2" t="s">
        <v>9</v>
      </c>
      <c r="D296" s="2" t="s">
        <v>198</v>
      </c>
      <c r="E296" s="2" t="s">
        <v>20</v>
      </c>
      <c r="F296" s="3">
        <v>491219.68</v>
      </c>
      <c r="G296" s="3">
        <v>784</v>
      </c>
      <c r="H296" s="3">
        <v>540</v>
      </c>
      <c r="I296" s="3" t="s">
        <v>256</v>
      </c>
      <c r="J296" s="18">
        <v>886</v>
      </c>
      <c r="K296" s="18">
        <v>1</v>
      </c>
    </row>
    <row r="297" spans="1:11" ht="25.8" x14ac:dyDescent="0.5">
      <c r="A297" s="2">
        <v>2023</v>
      </c>
      <c r="B297" s="2" t="s">
        <v>23</v>
      </c>
      <c r="C297" s="2" t="s">
        <v>9</v>
      </c>
      <c r="D297" s="2" t="s">
        <v>24</v>
      </c>
      <c r="E297" s="2" t="s">
        <v>35</v>
      </c>
      <c r="F297" s="3">
        <v>511374.08000000002</v>
      </c>
      <c r="G297" s="3">
        <v>784</v>
      </c>
      <c r="H297" s="3">
        <v>540</v>
      </c>
      <c r="I297" s="3" t="s">
        <v>257</v>
      </c>
      <c r="J297" s="18">
        <v>919</v>
      </c>
      <c r="K297" s="18">
        <v>1</v>
      </c>
    </row>
    <row r="298" spans="1:11" ht="25.8" x14ac:dyDescent="0.5">
      <c r="A298" s="2">
        <v>2023</v>
      </c>
      <c r="B298" s="2" t="s">
        <v>59</v>
      </c>
      <c r="C298" s="2" t="s">
        <v>9</v>
      </c>
      <c r="D298" s="2" t="s">
        <v>125</v>
      </c>
      <c r="E298" s="2" t="s">
        <v>22</v>
      </c>
      <c r="F298" s="3">
        <v>513714.88</v>
      </c>
      <c r="G298" s="3">
        <v>872</v>
      </c>
      <c r="H298" s="3">
        <v>249</v>
      </c>
      <c r="I298" s="3" t="s">
        <v>258</v>
      </c>
      <c r="J298" s="18">
        <v>356</v>
      </c>
      <c r="K298" s="18">
        <v>1</v>
      </c>
    </row>
    <row r="299" spans="1:11" ht="25.8" x14ac:dyDescent="0.5">
      <c r="A299" s="2">
        <v>2023</v>
      </c>
      <c r="B299" s="2" t="s">
        <v>12</v>
      </c>
      <c r="C299" s="2" t="s">
        <v>9</v>
      </c>
      <c r="D299" s="2" t="s">
        <v>199</v>
      </c>
      <c r="E299" s="2" t="s">
        <v>20</v>
      </c>
      <c r="F299" s="3">
        <v>513714.88</v>
      </c>
      <c r="G299" s="3">
        <v>312</v>
      </c>
      <c r="H299" s="3">
        <v>983</v>
      </c>
      <c r="I299" s="3" t="s">
        <v>259</v>
      </c>
      <c r="J299" s="18">
        <v>1659</v>
      </c>
      <c r="K299" s="18">
        <v>1</v>
      </c>
    </row>
    <row r="300" spans="1:11" ht="25.8" x14ac:dyDescent="0.5">
      <c r="A300" s="2">
        <v>2023</v>
      </c>
      <c r="B300" s="2" t="s">
        <v>18</v>
      </c>
      <c r="C300" s="2" t="s">
        <v>9</v>
      </c>
      <c r="D300" s="2" t="s">
        <v>145</v>
      </c>
      <c r="E300" s="2" t="s">
        <v>14</v>
      </c>
      <c r="F300" s="3">
        <v>517632.64</v>
      </c>
      <c r="G300" s="3">
        <v>413</v>
      </c>
      <c r="H300" s="3">
        <v>930</v>
      </c>
      <c r="I300" s="3" t="s">
        <v>260</v>
      </c>
      <c r="J300" s="18">
        <v>1963</v>
      </c>
      <c r="K300" s="18">
        <v>1</v>
      </c>
    </row>
    <row r="301" spans="1:11" ht="25.8" x14ac:dyDescent="0.5">
      <c r="A301" s="2">
        <v>2023</v>
      </c>
      <c r="B301" s="2" t="s">
        <v>54</v>
      </c>
      <c r="C301" s="2" t="s">
        <v>9</v>
      </c>
      <c r="D301" s="2" t="s">
        <v>105</v>
      </c>
      <c r="E301" s="2" t="s">
        <v>35</v>
      </c>
      <c r="F301" s="3">
        <v>518578.50240000006</v>
      </c>
      <c r="G301" s="3">
        <v>568</v>
      </c>
      <c r="H301" s="3">
        <v>505</v>
      </c>
      <c r="I301" s="3" t="s">
        <v>261</v>
      </c>
      <c r="J301" s="18">
        <v>625</v>
      </c>
      <c r="K301" s="18">
        <v>1</v>
      </c>
    </row>
    <row r="302" spans="1:11" ht="25.8" x14ac:dyDescent="0.5">
      <c r="A302" s="2">
        <v>2023</v>
      </c>
      <c r="B302" s="2" t="s">
        <v>12</v>
      </c>
      <c r="C302" s="2" t="s">
        <v>9</v>
      </c>
      <c r="D302" s="2" t="s">
        <v>200</v>
      </c>
      <c r="E302" s="2" t="s">
        <v>35</v>
      </c>
      <c r="F302" s="3">
        <v>521042.45759999997</v>
      </c>
      <c r="G302" s="3">
        <v>168</v>
      </c>
      <c r="H302" s="3">
        <v>97</v>
      </c>
      <c r="I302" s="3" t="s">
        <v>250</v>
      </c>
      <c r="J302" s="18">
        <v>139</v>
      </c>
      <c r="K302" s="18">
        <v>1</v>
      </c>
    </row>
    <row r="303" spans="1:11" ht="25.8" x14ac:dyDescent="0.5">
      <c r="A303" s="2">
        <v>2023</v>
      </c>
      <c r="B303" s="2" t="s">
        <v>12</v>
      </c>
      <c r="C303" s="2" t="s">
        <v>9</v>
      </c>
      <c r="D303" s="2" t="s">
        <v>201</v>
      </c>
      <c r="E303" s="2" t="s">
        <v>14</v>
      </c>
      <c r="F303" s="3">
        <v>521766.56</v>
      </c>
      <c r="G303" s="3">
        <v>839</v>
      </c>
      <c r="H303" s="3">
        <v>334</v>
      </c>
      <c r="I303" s="3" t="s">
        <v>251</v>
      </c>
      <c r="J303" s="18">
        <v>692</v>
      </c>
      <c r="K303" s="18">
        <v>1</v>
      </c>
    </row>
    <row r="304" spans="1:11" ht="25.8" x14ac:dyDescent="0.5">
      <c r="A304" s="2">
        <v>2023</v>
      </c>
      <c r="B304" s="2" t="s">
        <v>8</v>
      </c>
      <c r="C304" s="2" t="s">
        <v>9</v>
      </c>
      <c r="D304" s="2" t="s">
        <v>33</v>
      </c>
      <c r="E304" s="2" t="s">
        <v>14</v>
      </c>
      <c r="F304" s="3">
        <v>522516.96</v>
      </c>
      <c r="G304" s="3">
        <v>839</v>
      </c>
      <c r="H304" s="3">
        <v>983</v>
      </c>
      <c r="I304" s="3" t="s">
        <v>252</v>
      </c>
      <c r="J304" s="18">
        <v>1728</v>
      </c>
      <c r="K304" s="18">
        <v>1</v>
      </c>
    </row>
    <row r="305" spans="1:11" ht="25.8" x14ac:dyDescent="0.5">
      <c r="A305" s="2">
        <v>2023</v>
      </c>
      <c r="B305" s="2" t="s">
        <v>27</v>
      </c>
      <c r="C305" s="2" t="s">
        <v>9</v>
      </c>
      <c r="D305" s="2" t="s">
        <v>154</v>
      </c>
      <c r="E305" s="2" t="s">
        <v>22</v>
      </c>
      <c r="F305" s="3">
        <v>524849.92000000004</v>
      </c>
      <c r="G305" s="3">
        <v>168</v>
      </c>
      <c r="H305" s="3">
        <v>97</v>
      </c>
      <c r="I305" s="3" t="s">
        <v>253</v>
      </c>
      <c r="J305" s="18">
        <v>232</v>
      </c>
      <c r="K305" s="18">
        <v>1</v>
      </c>
    </row>
    <row r="306" spans="1:11" ht="25.8" x14ac:dyDescent="0.5">
      <c r="A306" s="2">
        <v>2023</v>
      </c>
      <c r="B306" s="2" t="s">
        <v>12</v>
      </c>
      <c r="C306" s="2" t="s">
        <v>9</v>
      </c>
      <c r="D306" s="2" t="s">
        <v>202</v>
      </c>
      <c r="E306" s="2" t="s">
        <v>35</v>
      </c>
      <c r="F306" s="3">
        <v>526794.23999999999</v>
      </c>
      <c r="G306" s="3">
        <v>168</v>
      </c>
      <c r="H306" s="3">
        <v>97</v>
      </c>
      <c r="I306" s="3" t="s">
        <v>254</v>
      </c>
      <c r="J306" s="18">
        <v>215</v>
      </c>
      <c r="K306" s="18">
        <v>1</v>
      </c>
    </row>
    <row r="307" spans="1:11" ht="25.8" x14ac:dyDescent="0.5">
      <c r="A307" s="2">
        <v>2023</v>
      </c>
      <c r="B307" s="2" t="s">
        <v>18</v>
      </c>
      <c r="C307" s="2" t="s">
        <v>9</v>
      </c>
      <c r="D307" s="2" t="s">
        <v>111</v>
      </c>
      <c r="E307" s="2" t="s">
        <v>35</v>
      </c>
      <c r="F307" s="3">
        <v>552284.00640000007</v>
      </c>
      <c r="G307" s="3">
        <v>597</v>
      </c>
      <c r="H307" s="3">
        <v>287</v>
      </c>
      <c r="I307" s="3" t="s">
        <v>255</v>
      </c>
      <c r="J307" s="18">
        <v>604</v>
      </c>
      <c r="K307" s="18">
        <v>1</v>
      </c>
    </row>
    <row r="308" spans="1:11" ht="25.8" x14ac:dyDescent="0.5">
      <c r="A308" s="2">
        <v>2023</v>
      </c>
      <c r="B308" s="2" t="s">
        <v>23</v>
      </c>
      <c r="C308" s="2" t="s">
        <v>9</v>
      </c>
      <c r="D308" s="2" t="s">
        <v>114</v>
      </c>
      <c r="E308" s="2" t="s">
        <v>14</v>
      </c>
      <c r="F308" s="3">
        <v>554812.07039999997</v>
      </c>
      <c r="G308" s="3">
        <v>839</v>
      </c>
      <c r="H308" s="3">
        <v>983</v>
      </c>
      <c r="I308" s="3" t="s">
        <v>256</v>
      </c>
      <c r="J308" s="18">
        <v>2239</v>
      </c>
      <c r="K308" s="18">
        <v>1</v>
      </c>
    </row>
    <row r="309" spans="1:11" ht="25.8" x14ac:dyDescent="0.5">
      <c r="A309" s="2">
        <v>2023</v>
      </c>
      <c r="B309" s="2" t="s">
        <v>12</v>
      </c>
      <c r="C309" s="2" t="s">
        <v>9</v>
      </c>
      <c r="D309" s="2" t="s">
        <v>203</v>
      </c>
      <c r="E309" s="2" t="s">
        <v>17</v>
      </c>
      <c r="F309" s="3">
        <v>559043.25120000006</v>
      </c>
      <c r="G309" s="3">
        <v>839</v>
      </c>
      <c r="H309" s="3">
        <v>983</v>
      </c>
      <c r="I309" s="3" t="s">
        <v>257</v>
      </c>
      <c r="J309" s="18">
        <v>1303</v>
      </c>
      <c r="K309" s="18">
        <v>1</v>
      </c>
    </row>
    <row r="310" spans="1:11" ht="25.8" x14ac:dyDescent="0.5">
      <c r="A310" s="2">
        <v>2023</v>
      </c>
      <c r="B310" s="2" t="s">
        <v>15</v>
      </c>
      <c r="C310" s="2" t="s">
        <v>9</v>
      </c>
      <c r="D310" s="2" t="s">
        <v>116</v>
      </c>
      <c r="E310" s="2" t="s">
        <v>66</v>
      </c>
      <c r="F310" s="3">
        <v>564318.31680000003</v>
      </c>
      <c r="G310" s="3">
        <v>312</v>
      </c>
      <c r="H310" s="3">
        <v>983</v>
      </c>
      <c r="I310" s="3" t="s">
        <v>258</v>
      </c>
      <c r="J310" s="18">
        <v>1759</v>
      </c>
      <c r="K310" s="18">
        <v>1</v>
      </c>
    </row>
    <row r="311" spans="1:11" ht="25.8" x14ac:dyDescent="0.5">
      <c r="A311" s="2">
        <v>2023</v>
      </c>
      <c r="B311" s="2" t="s">
        <v>8</v>
      </c>
      <c r="C311" s="2" t="s">
        <v>9</v>
      </c>
      <c r="D311" s="2" t="s">
        <v>21</v>
      </c>
      <c r="E311" s="2" t="s">
        <v>20</v>
      </c>
      <c r="F311" s="3">
        <v>566350.4</v>
      </c>
      <c r="G311" s="3">
        <v>403</v>
      </c>
      <c r="H311" s="3">
        <v>953</v>
      </c>
      <c r="I311" s="3" t="s">
        <v>259</v>
      </c>
      <c r="J311" s="18">
        <v>2272</v>
      </c>
      <c r="K311" s="18">
        <v>1</v>
      </c>
    </row>
    <row r="312" spans="1:11" ht="25.8" x14ac:dyDescent="0.5">
      <c r="A312" s="2">
        <v>2023</v>
      </c>
      <c r="B312" s="2" t="s">
        <v>50</v>
      </c>
      <c r="C312" s="2" t="s">
        <v>9</v>
      </c>
      <c r="D312" s="2" t="s">
        <v>117</v>
      </c>
      <c r="E312" s="2" t="s">
        <v>22</v>
      </c>
      <c r="F312" s="3">
        <v>566837.91360000009</v>
      </c>
      <c r="G312" s="3">
        <v>872</v>
      </c>
      <c r="H312" s="3">
        <v>249</v>
      </c>
      <c r="I312" s="3" t="s">
        <v>260</v>
      </c>
      <c r="J312" s="18">
        <v>501</v>
      </c>
      <c r="K312" s="18">
        <v>1</v>
      </c>
    </row>
    <row r="313" spans="1:11" ht="25.8" x14ac:dyDescent="0.5">
      <c r="A313" s="2">
        <v>2023</v>
      </c>
      <c r="B313" s="2" t="s">
        <v>12</v>
      </c>
      <c r="C313" s="2" t="s">
        <v>9</v>
      </c>
      <c r="D313" s="2" t="s">
        <v>204</v>
      </c>
      <c r="E313" s="2" t="s">
        <v>26</v>
      </c>
      <c r="F313" s="3">
        <v>578538.23999999999</v>
      </c>
      <c r="G313" s="3">
        <v>795</v>
      </c>
      <c r="H313" s="3">
        <v>469</v>
      </c>
      <c r="I313" s="3" t="s">
        <v>261</v>
      </c>
      <c r="J313" s="18">
        <v>974</v>
      </c>
      <c r="K313" s="18">
        <v>1</v>
      </c>
    </row>
    <row r="314" spans="1:11" ht="25.8" x14ac:dyDescent="0.5">
      <c r="A314" s="2">
        <v>2023</v>
      </c>
      <c r="B314" s="2" t="s">
        <v>50</v>
      </c>
      <c r="C314" s="2" t="s">
        <v>9</v>
      </c>
      <c r="D314" s="2" t="s">
        <v>53</v>
      </c>
      <c r="E314" s="2" t="s">
        <v>26</v>
      </c>
      <c r="F314" s="3">
        <v>587074.88</v>
      </c>
      <c r="G314" s="3">
        <v>210</v>
      </c>
      <c r="H314" s="3">
        <v>177</v>
      </c>
      <c r="I314" s="3" t="s">
        <v>250</v>
      </c>
      <c r="J314" s="18">
        <v>270</v>
      </c>
      <c r="K314" s="18">
        <v>1</v>
      </c>
    </row>
    <row r="315" spans="1:11" ht="25.8" x14ac:dyDescent="0.5">
      <c r="A315" s="2">
        <v>2023</v>
      </c>
      <c r="B315" s="2" t="s">
        <v>12</v>
      </c>
      <c r="C315" s="2" t="s">
        <v>9</v>
      </c>
      <c r="D315" s="2" t="s">
        <v>205</v>
      </c>
      <c r="E315" s="2" t="s">
        <v>26</v>
      </c>
      <c r="F315" s="3">
        <v>609031.36</v>
      </c>
      <c r="G315" s="3">
        <v>839</v>
      </c>
      <c r="H315" s="3">
        <v>334</v>
      </c>
      <c r="I315" s="3" t="s">
        <v>251</v>
      </c>
      <c r="J315" s="18">
        <v>756</v>
      </c>
      <c r="K315" s="18">
        <v>1</v>
      </c>
    </row>
    <row r="316" spans="1:11" ht="25.8" x14ac:dyDescent="0.5">
      <c r="A316" s="2">
        <v>2023</v>
      </c>
      <c r="B316" s="2" t="s">
        <v>59</v>
      </c>
      <c r="C316" s="2" t="s">
        <v>9</v>
      </c>
      <c r="D316" s="2" t="s">
        <v>173</v>
      </c>
      <c r="E316" s="2" t="s">
        <v>22</v>
      </c>
      <c r="F316" s="3">
        <v>612550.40000000002</v>
      </c>
      <c r="G316" s="3">
        <v>692</v>
      </c>
      <c r="H316" s="3">
        <v>300</v>
      </c>
      <c r="I316" s="3" t="s">
        <v>252</v>
      </c>
      <c r="J316" s="18">
        <v>708</v>
      </c>
      <c r="K316" s="18">
        <v>1</v>
      </c>
    </row>
    <row r="317" spans="1:11" ht="25.8" x14ac:dyDescent="0.5">
      <c r="A317" s="2">
        <v>2023</v>
      </c>
      <c r="B317" s="2" t="s">
        <v>50</v>
      </c>
      <c r="C317" s="2" t="s">
        <v>9</v>
      </c>
      <c r="D317" s="2" t="s">
        <v>51</v>
      </c>
      <c r="E317" s="2" t="s">
        <v>14</v>
      </c>
      <c r="F317" s="3">
        <v>612550.40000000002</v>
      </c>
      <c r="G317" s="3">
        <v>413</v>
      </c>
      <c r="H317" s="3">
        <v>930</v>
      </c>
      <c r="I317" s="3" t="s">
        <v>253</v>
      </c>
      <c r="J317" s="18">
        <v>1070</v>
      </c>
      <c r="K317" s="18">
        <v>1</v>
      </c>
    </row>
    <row r="318" spans="1:11" ht="25.8" x14ac:dyDescent="0.5">
      <c r="A318" s="2">
        <v>2023</v>
      </c>
      <c r="B318" s="2" t="s">
        <v>50</v>
      </c>
      <c r="C318" s="2" t="s">
        <v>9</v>
      </c>
      <c r="D318" s="2" t="s">
        <v>128</v>
      </c>
      <c r="E318" s="2" t="s">
        <v>26</v>
      </c>
      <c r="F318" s="3">
        <v>624821.29920000001</v>
      </c>
      <c r="G318" s="3">
        <v>168</v>
      </c>
      <c r="H318" s="3">
        <v>97</v>
      </c>
      <c r="I318" s="3" t="s">
        <v>254</v>
      </c>
      <c r="J318" s="18">
        <v>195</v>
      </c>
      <c r="K318" s="18">
        <v>1</v>
      </c>
    </row>
    <row r="319" spans="1:11" ht="25.8" x14ac:dyDescent="0.5">
      <c r="A319" s="2">
        <v>2023</v>
      </c>
      <c r="B319" s="2" t="s">
        <v>50</v>
      </c>
      <c r="C319" s="2" t="s">
        <v>9</v>
      </c>
      <c r="D319" s="2" t="s">
        <v>131</v>
      </c>
      <c r="E319" s="2" t="s">
        <v>66</v>
      </c>
      <c r="F319" s="3">
        <v>633797.74080000003</v>
      </c>
      <c r="G319" s="3">
        <v>968</v>
      </c>
      <c r="H319" s="3">
        <v>330</v>
      </c>
      <c r="I319" s="3" t="s">
        <v>255</v>
      </c>
      <c r="J319" s="18">
        <v>670</v>
      </c>
      <c r="K319" s="18">
        <v>1</v>
      </c>
    </row>
    <row r="320" spans="1:11" ht="25.8" x14ac:dyDescent="0.5">
      <c r="A320" s="2">
        <v>2023</v>
      </c>
      <c r="B320" s="2" t="s">
        <v>59</v>
      </c>
      <c r="C320" s="2" t="s">
        <v>9</v>
      </c>
      <c r="D320" s="2" t="s">
        <v>132</v>
      </c>
      <c r="E320" s="2" t="s">
        <v>22</v>
      </c>
      <c r="F320" s="3">
        <v>634040.87040000001</v>
      </c>
      <c r="G320" s="3">
        <v>839</v>
      </c>
      <c r="H320" s="3">
        <v>983</v>
      </c>
      <c r="I320" s="3" t="s">
        <v>256</v>
      </c>
      <c r="J320" s="18">
        <v>1704</v>
      </c>
      <c r="K320" s="18">
        <v>1</v>
      </c>
    </row>
    <row r="321" spans="1:11" ht="25.8" x14ac:dyDescent="0.5">
      <c r="A321" s="2">
        <v>2023</v>
      </c>
      <c r="B321" s="2" t="s">
        <v>8</v>
      </c>
      <c r="C321" s="2" t="s">
        <v>9</v>
      </c>
      <c r="D321" s="2" t="s">
        <v>157</v>
      </c>
      <c r="E321" s="2" t="s">
        <v>26</v>
      </c>
      <c r="F321" s="3">
        <v>635797.12</v>
      </c>
      <c r="G321" s="3">
        <v>93</v>
      </c>
      <c r="H321" s="3">
        <v>852</v>
      </c>
      <c r="I321" s="3" t="s">
        <v>257</v>
      </c>
      <c r="J321" s="18">
        <v>1012</v>
      </c>
      <c r="K321" s="18">
        <v>1</v>
      </c>
    </row>
    <row r="322" spans="1:11" ht="25.8" x14ac:dyDescent="0.5">
      <c r="A322" s="2">
        <v>2023</v>
      </c>
      <c r="B322" s="2" t="s">
        <v>15</v>
      </c>
      <c r="C322" s="2" t="s">
        <v>9</v>
      </c>
      <c r="D322" s="2" t="s">
        <v>112</v>
      </c>
      <c r="E322" s="2" t="s">
        <v>66</v>
      </c>
      <c r="F322" s="3">
        <v>642616.80000000005</v>
      </c>
      <c r="G322" s="3">
        <v>577</v>
      </c>
      <c r="H322" s="3">
        <v>175</v>
      </c>
      <c r="I322" s="3" t="s">
        <v>258</v>
      </c>
      <c r="J322" s="18">
        <v>343</v>
      </c>
      <c r="K322" s="18">
        <v>1</v>
      </c>
    </row>
    <row r="323" spans="1:11" ht="25.8" x14ac:dyDescent="0.5">
      <c r="A323" s="2">
        <v>2023</v>
      </c>
      <c r="B323" s="2" t="s">
        <v>12</v>
      </c>
      <c r="C323" s="2" t="s">
        <v>9</v>
      </c>
      <c r="D323" s="2" t="s">
        <v>122</v>
      </c>
      <c r="E323" s="2" t="s">
        <v>11</v>
      </c>
      <c r="F323" s="3">
        <v>653988.16</v>
      </c>
      <c r="G323" s="3">
        <v>403</v>
      </c>
      <c r="H323" s="3">
        <v>953</v>
      </c>
      <c r="I323" s="3" t="s">
        <v>259</v>
      </c>
      <c r="J323" s="18">
        <v>1665</v>
      </c>
      <c r="K323" s="18">
        <v>1</v>
      </c>
    </row>
    <row r="324" spans="1:11" ht="25.8" x14ac:dyDescent="0.5">
      <c r="A324" s="2">
        <v>2023</v>
      </c>
      <c r="B324" s="2" t="s">
        <v>29</v>
      </c>
      <c r="C324" s="2" t="s">
        <v>9</v>
      </c>
      <c r="D324" s="2" t="s">
        <v>206</v>
      </c>
      <c r="E324" s="2" t="s">
        <v>14</v>
      </c>
      <c r="F324" s="3">
        <v>655095.84</v>
      </c>
      <c r="G324" s="3">
        <v>692</v>
      </c>
      <c r="H324" s="3">
        <v>300</v>
      </c>
      <c r="I324" s="3" t="s">
        <v>260</v>
      </c>
      <c r="J324" s="18">
        <v>382</v>
      </c>
      <c r="K324" s="18">
        <v>1</v>
      </c>
    </row>
    <row r="325" spans="1:11" ht="25.8" x14ac:dyDescent="0.5">
      <c r="A325" s="2">
        <v>2023</v>
      </c>
      <c r="B325" s="2" t="s">
        <v>27</v>
      </c>
      <c r="C325" s="2" t="s">
        <v>9</v>
      </c>
      <c r="D325" s="2" t="s">
        <v>207</v>
      </c>
      <c r="E325" s="2" t="s">
        <v>26</v>
      </c>
      <c r="F325" s="3">
        <v>657753.86879999994</v>
      </c>
      <c r="G325" s="3">
        <v>610</v>
      </c>
      <c r="H325" s="3">
        <v>970</v>
      </c>
      <c r="I325" s="3" t="s">
        <v>261</v>
      </c>
      <c r="J325" s="18">
        <v>2424</v>
      </c>
      <c r="K325" s="18">
        <v>1</v>
      </c>
    </row>
    <row r="326" spans="1:11" ht="25.8" x14ac:dyDescent="0.5">
      <c r="A326" s="2">
        <v>2023</v>
      </c>
      <c r="B326" s="2" t="s">
        <v>23</v>
      </c>
      <c r="C326" s="2" t="s">
        <v>9</v>
      </c>
      <c r="D326" s="2" t="s">
        <v>42</v>
      </c>
      <c r="E326" s="2" t="s">
        <v>17</v>
      </c>
      <c r="F326" s="3">
        <v>658492.80000000005</v>
      </c>
      <c r="G326" s="3">
        <v>568</v>
      </c>
      <c r="H326" s="3">
        <v>505</v>
      </c>
      <c r="I326" s="3" t="s">
        <v>250</v>
      </c>
      <c r="J326" s="18">
        <v>669</v>
      </c>
      <c r="K326" s="18">
        <v>1</v>
      </c>
    </row>
    <row r="327" spans="1:11" ht="25.8" x14ac:dyDescent="0.5">
      <c r="A327" s="2">
        <v>2023</v>
      </c>
      <c r="B327" s="2" t="s">
        <v>27</v>
      </c>
      <c r="C327" s="2" t="s">
        <v>9</v>
      </c>
      <c r="D327" s="2" t="s">
        <v>208</v>
      </c>
      <c r="E327" s="2" t="s">
        <v>17</v>
      </c>
      <c r="F327" s="3">
        <v>660390.07999999996</v>
      </c>
      <c r="G327" s="3">
        <v>577</v>
      </c>
      <c r="H327" s="3">
        <v>175</v>
      </c>
      <c r="I327" s="3" t="s">
        <v>251</v>
      </c>
      <c r="J327" s="18">
        <v>200</v>
      </c>
      <c r="K327" s="18">
        <v>1</v>
      </c>
    </row>
    <row r="328" spans="1:11" ht="25.8" x14ac:dyDescent="0.5">
      <c r="A328" s="2">
        <v>2023</v>
      </c>
      <c r="B328" s="2" t="s">
        <v>27</v>
      </c>
      <c r="C328" s="2" t="s">
        <v>9</v>
      </c>
      <c r="D328" s="2" t="s">
        <v>67</v>
      </c>
      <c r="E328" s="2" t="s">
        <v>38</v>
      </c>
      <c r="F328" s="3">
        <v>660390.07999999996</v>
      </c>
      <c r="G328" s="3">
        <v>93</v>
      </c>
      <c r="H328" s="3">
        <v>852</v>
      </c>
      <c r="I328" s="3" t="s">
        <v>252</v>
      </c>
      <c r="J328" s="18">
        <v>1800</v>
      </c>
      <c r="K328" s="18">
        <v>1</v>
      </c>
    </row>
    <row r="329" spans="1:11" ht="25.8" x14ac:dyDescent="0.5">
      <c r="A329" s="2">
        <v>2023</v>
      </c>
      <c r="B329" s="2" t="s">
        <v>54</v>
      </c>
      <c r="C329" s="2" t="s">
        <v>9</v>
      </c>
      <c r="D329" s="2" t="s">
        <v>92</v>
      </c>
      <c r="E329" s="2" t="s">
        <v>35</v>
      </c>
      <c r="F329" s="3">
        <v>668335.35999999999</v>
      </c>
      <c r="G329" s="3">
        <v>839</v>
      </c>
      <c r="H329" s="3">
        <v>983</v>
      </c>
      <c r="I329" s="3" t="s">
        <v>253</v>
      </c>
      <c r="J329" s="18">
        <v>1188</v>
      </c>
      <c r="K329" s="18">
        <v>1</v>
      </c>
    </row>
    <row r="330" spans="1:11" ht="25.8" x14ac:dyDescent="0.5">
      <c r="A330" s="2">
        <v>2023</v>
      </c>
      <c r="B330" s="2" t="s">
        <v>18</v>
      </c>
      <c r="C330" s="2" t="s">
        <v>9</v>
      </c>
      <c r="D330" s="2" t="s">
        <v>139</v>
      </c>
      <c r="E330" s="2" t="s">
        <v>14</v>
      </c>
      <c r="F330" s="3">
        <v>670153.12</v>
      </c>
      <c r="G330" s="3">
        <v>577</v>
      </c>
      <c r="H330" s="3">
        <v>175</v>
      </c>
      <c r="I330" s="3" t="s">
        <v>254</v>
      </c>
      <c r="J330" s="18">
        <v>291</v>
      </c>
      <c r="K330" s="18">
        <v>1</v>
      </c>
    </row>
    <row r="331" spans="1:11" ht="25.8" x14ac:dyDescent="0.5">
      <c r="A331" s="2">
        <v>2023</v>
      </c>
      <c r="B331" s="2" t="s">
        <v>12</v>
      </c>
      <c r="C331" s="2" t="s">
        <v>9</v>
      </c>
      <c r="D331" s="2" t="s">
        <v>101</v>
      </c>
      <c r="E331" s="2" t="s">
        <v>26</v>
      </c>
      <c r="F331" s="3">
        <v>685441.12</v>
      </c>
      <c r="G331" s="3">
        <v>872</v>
      </c>
      <c r="H331" s="3">
        <v>249</v>
      </c>
      <c r="I331" s="3" t="s">
        <v>255</v>
      </c>
      <c r="J331" s="18">
        <v>347</v>
      </c>
      <c r="K331" s="18">
        <v>1</v>
      </c>
    </row>
    <row r="332" spans="1:11" ht="25.8" x14ac:dyDescent="0.5">
      <c r="A332" s="2">
        <v>2023</v>
      </c>
      <c r="B332" s="2" t="s">
        <v>27</v>
      </c>
      <c r="C332" s="2" t="s">
        <v>9</v>
      </c>
      <c r="D332" s="2" t="s">
        <v>80</v>
      </c>
      <c r="E332" s="2" t="s">
        <v>66</v>
      </c>
      <c r="F332" s="3">
        <v>685790.56</v>
      </c>
      <c r="G332" s="3">
        <v>568</v>
      </c>
      <c r="H332" s="3">
        <v>505</v>
      </c>
      <c r="I332" s="3" t="s">
        <v>256</v>
      </c>
      <c r="J332" s="18">
        <v>683</v>
      </c>
      <c r="K332" s="18">
        <v>1</v>
      </c>
    </row>
    <row r="333" spans="1:11" ht="25.8" x14ac:dyDescent="0.5">
      <c r="A333" s="2">
        <v>2023</v>
      </c>
      <c r="B333" s="2" t="s">
        <v>50</v>
      </c>
      <c r="C333" s="2" t="s">
        <v>9</v>
      </c>
      <c r="D333" s="2" t="s">
        <v>36</v>
      </c>
      <c r="E333" s="2" t="s">
        <v>17</v>
      </c>
      <c r="F333" s="3">
        <v>686164.64</v>
      </c>
      <c r="G333" s="3">
        <v>795</v>
      </c>
      <c r="H333" s="3">
        <v>469</v>
      </c>
      <c r="I333" s="3" t="s">
        <v>257</v>
      </c>
      <c r="J333" s="18">
        <v>917</v>
      </c>
      <c r="K333" s="18">
        <v>1</v>
      </c>
    </row>
    <row r="334" spans="1:11" ht="25.8" x14ac:dyDescent="0.5">
      <c r="A334" s="2">
        <v>2023</v>
      </c>
      <c r="B334" s="2" t="s">
        <v>15</v>
      </c>
      <c r="C334" s="2" t="s">
        <v>9</v>
      </c>
      <c r="D334" s="2" t="s">
        <v>137</v>
      </c>
      <c r="E334" s="2" t="s">
        <v>17</v>
      </c>
      <c r="F334" s="3">
        <v>686660.88959999999</v>
      </c>
      <c r="G334" s="3">
        <v>795</v>
      </c>
      <c r="H334" s="3">
        <v>469</v>
      </c>
      <c r="I334" s="3" t="s">
        <v>258</v>
      </c>
      <c r="J334" s="18">
        <v>808</v>
      </c>
      <c r="K334" s="18">
        <v>1</v>
      </c>
    </row>
    <row r="335" spans="1:11" ht="25.8" x14ac:dyDescent="0.5">
      <c r="A335" s="2">
        <v>2023</v>
      </c>
      <c r="B335" s="2" t="s">
        <v>59</v>
      </c>
      <c r="C335" s="2" t="s">
        <v>9</v>
      </c>
      <c r="D335" s="2" t="s">
        <v>31</v>
      </c>
      <c r="E335" s="2" t="s">
        <v>17</v>
      </c>
      <c r="F335" s="3">
        <v>692508.32</v>
      </c>
      <c r="G335" s="3">
        <v>610</v>
      </c>
      <c r="H335" s="3">
        <v>970</v>
      </c>
      <c r="I335" s="3" t="s">
        <v>259</v>
      </c>
      <c r="J335" s="18">
        <v>1141</v>
      </c>
      <c r="K335" s="18">
        <v>1</v>
      </c>
    </row>
    <row r="336" spans="1:11" ht="25.8" x14ac:dyDescent="0.5">
      <c r="A336" s="2">
        <v>2023</v>
      </c>
      <c r="B336" s="2" t="s">
        <v>54</v>
      </c>
      <c r="C336" s="2" t="s">
        <v>9</v>
      </c>
      <c r="D336" s="2" t="s">
        <v>178</v>
      </c>
      <c r="E336" s="2" t="s">
        <v>35</v>
      </c>
      <c r="F336" s="3">
        <v>692508.32</v>
      </c>
      <c r="G336" s="3">
        <v>287</v>
      </c>
      <c r="H336" s="3">
        <v>744</v>
      </c>
      <c r="I336" s="3" t="s">
        <v>260</v>
      </c>
      <c r="J336" s="18">
        <v>993</v>
      </c>
      <c r="K336" s="18">
        <v>1</v>
      </c>
    </row>
    <row r="337" spans="1:11" ht="25.8" x14ac:dyDescent="0.5">
      <c r="A337" s="2">
        <v>2023</v>
      </c>
      <c r="B337" s="2" t="s">
        <v>27</v>
      </c>
      <c r="C337" s="2" t="s">
        <v>9</v>
      </c>
      <c r="D337" s="2" t="s">
        <v>209</v>
      </c>
      <c r="E337" s="2" t="s">
        <v>22</v>
      </c>
      <c r="F337" s="3">
        <v>694077.43999999994</v>
      </c>
      <c r="G337" s="3">
        <v>568</v>
      </c>
      <c r="H337" s="3">
        <v>505</v>
      </c>
      <c r="I337" s="3" t="s">
        <v>261</v>
      </c>
      <c r="J337" s="18">
        <v>984</v>
      </c>
      <c r="K337" s="18">
        <v>1</v>
      </c>
    </row>
    <row r="338" spans="1:11" ht="25.8" x14ac:dyDescent="0.5">
      <c r="A338" s="2">
        <v>2023</v>
      </c>
      <c r="B338" s="2" t="s">
        <v>50</v>
      </c>
      <c r="C338" s="2" t="s">
        <v>9</v>
      </c>
      <c r="D338" s="2" t="s">
        <v>82</v>
      </c>
      <c r="E338" s="2" t="s">
        <v>20</v>
      </c>
      <c r="F338" s="3">
        <v>697089.12</v>
      </c>
      <c r="G338" s="3">
        <v>610</v>
      </c>
      <c r="H338" s="3">
        <v>970</v>
      </c>
      <c r="I338" s="3" t="s">
        <v>250</v>
      </c>
      <c r="J338" s="18">
        <v>2052</v>
      </c>
      <c r="K338" s="18">
        <v>1</v>
      </c>
    </row>
    <row r="339" spans="1:11" ht="25.8" x14ac:dyDescent="0.5">
      <c r="A339" s="2">
        <v>2023</v>
      </c>
      <c r="B339" s="2" t="s">
        <v>23</v>
      </c>
      <c r="C339" s="2" t="s">
        <v>9</v>
      </c>
      <c r="D339" s="2" t="s">
        <v>81</v>
      </c>
      <c r="E339" s="2" t="s">
        <v>14</v>
      </c>
      <c r="F339" s="3">
        <v>701037.12</v>
      </c>
      <c r="G339" s="3">
        <v>312</v>
      </c>
      <c r="H339" s="3">
        <v>983</v>
      </c>
      <c r="I339" s="3" t="s">
        <v>251</v>
      </c>
      <c r="J339" s="18">
        <v>1527</v>
      </c>
      <c r="K339" s="18">
        <v>1</v>
      </c>
    </row>
    <row r="340" spans="1:11" ht="25.8" x14ac:dyDescent="0.5">
      <c r="A340" s="2">
        <v>2023</v>
      </c>
      <c r="B340" s="2" t="s">
        <v>29</v>
      </c>
      <c r="C340" s="2" t="s">
        <v>9</v>
      </c>
      <c r="D340" s="2" t="s">
        <v>180</v>
      </c>
      <c r="E340" s="2" t="s">
        <v>66</v>
      </c>
      <c r="F340" s="3">
        <v>705535.04</v>
      </c>
      <c r="G340" s="3">
        <v>930</v>
      </c>
      <c r="H340" s="3">
        <v>563</v>
      </c>
      <c r="I340" s="3" t="s">
        <v>252</v>
      </c>
      <c r="J340" s="18">
        <v>1194</v>
      </c>
      <c r="K340" s="18">
        <v>1</v>
      </c>
    </row>
    <row r="341" spans="1:11" ht="25.8" x14ac:dyDescent="0.5">
      <c r="A341" s="2">
        <v>2023</v>
      </c>
      <c r="B341" s="2" t="s">
        <v>54</v>
      </c>
      <c r="C341" s="2" t="s">
        <v>9</v>
      </c>
      <c r="D341" s="2" t="s">
        <v>30</v>
      </c>
      <c r="E341" s="2" t="s">
        <v>35</v>
      </c>
      <c r="F341" s="3">
        <v>707157.92</v>
      </c>
      <c r="G341" s="3">
        <v>872</v>
      </c>
      <c r="H341" s="3">
        <v>249</v>
      </c>
      <c r="I341" s="3" t="s">
        <v>253</v>
      </c>
      <c r="J341" s="18">
        <v>412</v>
      </c>
      <c r="K341" s="18">
        <v>1</v>
      </c>
    </row>
    <row r="342" spans="1:11" ht="25.8" x14ac:dyDescent="0.5">
      <c r="A342" s="2">
        <v>2023</v>
      </c>
      <c r="B342" s="2" t="s">
        <v>27</v>
      </c>
      <c r="C342" s="2" t="s">
        <v>9</v>
      </c>
      <c r="D342" s="2" t="s">
        <v>140</v>
      </c>
      <c r="E342" s="2" t="s">
        <v>26</v>
      </c>
      <c r="F342" s="3">
        <v>707503.50719999999</v>
      </c>
      <c r="G342" s="3">
        <v>872</v>
      </c>
      <c r="H342" s="3">
        <v>249</v>
      </c>
      <c r="I342" s="3" t="s">
        <v>254</v>
      </c>
      <c r="J342" s="18">
        <v>329</v>
      </c>
      <c r="K342" s="18">
        <v>1</v>
      </c>
    </row>
    <row r="343" spans="1:11" ht="25.8" x14ac:dyDescent="0.5">
      <c r="A343" s="2">
        <v>2023</v>
      </c>
      <c r="B343" s="2" t="s">
        <v>8</v>
      </c>
      <c r="C343" s="2" t="s">
        <v>9</v>
      </c>
      <c r="D343" s="2" t="s">
        <v>210</v>
      </c>
      <c r="E343" s="2" t="s">
        <v>20</v>
      </c>
      <c r="F343" s="3">
        <v>710112.48</v>
      </c>
      <c r="G343" s="3">
        <v>872</v>
      </c>
      <c r="H343" s="3">
        <v>249</v>
      </c>
      <c r="I343" s="3" t="s">
        <v>255</v>
      </c>
      <c r="J343" s="18">
        <v>499</v>
      </c>
      <c r="K343" s="18">
        <v>1</v>
      </c>
    </row>
    <row r="344" spans="1:11" ht="25.8" x14ac:dyDescent="0.5">
      <c r="A344" s="2">
        <v>2023</v>
      </c>
      <c r="B344" s="2" t="s">
        <v>50</v>
      </c>
      <c r="C344" s="2" t="s">
        <v>9</v>
      </c>
      <c r="D344" s="2" t="s">
        <v>141</v>
      </c>
      <c r="E344" s="2" t="s">
        <v>22</v>
      </c>
      <c r="F344" s="3">
        <v>711172.22400000005</v>
      </c>
      <c r="G344" s="3">
        <v>413</v>
      </c>
      <c r="H344" s="3">
        <v>930</v>
      </c>
      <c r="I344" s="3" t="s">
        <v>256</v>
      </c>
      <c r="J344" s="18">
        <v>1666</v>
      </c>
      <c r="K344" s="18">
        <v>1</v>
      </c>
    </row>
    <row r="345" spans="1:11" ht="25.8" x14ac:dyDescent="0.5">
      <c r="A345" s="2">
        <v>2023</v>
      </c>
      <c r="B345" s="2" t="s">
        <v>50</v>
      </c>
      <c r="C345" s="2" t="s">
        <v>9</v>
      </c>
      <c r="D345" s="2" t="s">
        <v>63</v>
      </c>
      <c r="E345" s="2" t="s">
        <v>17</v>
      </c>
      <c r="F345" s="3">
        <v>712968.48</v>
      </c>
      <c r="G345" s="3">
        <v>403</v>
      </c>
      <c r="H345" s="3">
        <v>953</v>
      </c>
      <c r="I345" s="3" t="s">
        <v>257</v>
      </c>
      <c r="J345" s="18">
        <v>2056</v>
      </c>
      <c r="K345" s="18">
        <v>1</v>
      </c>
    </row>
    <row r="346" spans="1:11" ht="25.8" x14ac:dyDescent="0.5">
      <c r="A346" s="2">
        <v>2023</v>
      </c>
      <c r="B346" s="2" t="s">
        <v>8</v>
      </c>
      <c r="C346" s="2" t="s">
        <v>9</v>
      </c>
      <c r="D346" s="2" t="s">
        <v>211</v>
      </c>
      <c r="E346" s="2" t="s">
        <v>66</v>
      </c>
      <c r="F346" s="3">
        <v>713221.28639999998</v>
      </c>
      <c r="G346" s="3">
        <v>692</v>
      </c>
      <c r="H346" s="3">
        <v>300</v>
      </c>
      <c r="I346" s="3" t="s">
        <v>258</v>
      </c>
      <c r="J346" s="18">
        <v>421</v>
      </c>
      <c r="K346" s="18">
        <v>1</v>
      </c>
    </row>
    <row r="347" spans="1:11" ht="25.8" x14ac:dyDescent="0.5">
      <c r="A347" s="2">
        <v>2023</v>
      </c>
      <c r="B347" s="2" t="s">
        <v>8</v>
      </c>
      <c r="C347" s="2" t="s">
        <v>9</v>
      </c>
      <c r="D347" s="2" t="s">
        <v>143</v>
      </c>
      <c r="E347" s="2" t="s">
        <v>14</v>
      </c>
      <c r="F347" s="3">
        <v>721802.1888</v>
      </c>
      <c r="G347" s="3">
        <v>839</v>
      </c>
      <c r="H347" s="3">
        <v>983</v>
      </c>
      <c r="I347" s="3" t="s">
        <v>259</v>
      </c>
      <c r="J347" s="18">
        <v>1746</v>
      </c>
      <c r="K347" s="18">
        <v>1</v>
      </c>
    </row>
    <row r="348" spans="1:11" ht="25.8" x14ac:dyDescent="0.5">
      <c r="A348" s="2">
        <v>2023</v>
      </c>
      <c r="B348" s="2" t="s">
        <v>29</v>
      </c>
      <c r="C348" s="2" t="s">
        <v>9</v>
      </c>
      <c r="D348" s="2" t="s">
        <v>144</v>
      </c>
      <c r="E348" s="2" t="s">
        <v>66</v>
      </c>
      <c r="F348" s="3">
        <v>723765.36959999998</v>
      </c>
      <c r="G348" s="3">
        <v>930</v>
      </c>
      <c r="H348" s="3">
        <v>563</v>
      </c>
      <c r="I348" s="3" t="s">
        <v>260</v>
      </c>
      <c r="J348" s="18">
        <v>1161</v>
      </c>
      <c r="K348" s="18">
        <v>1</v>
      </c>
    </row>
    <row r="349" spans="1:11" ht="25.8" x14ac:dyDescent="0.5">
      <c r="A349" s="2">
        <v>2023</v>
      </c>
      <c r="B349" s="2" t="s">
        <v>12</v>
      </c>
      <c r="C349" s="2" t="s">
        <v>9</v>
      </c>
      <c r="D349" s="2" t="s">
        <v>146</v>
      </c>
      <c r="E349" s="2" t="s">
        <v>35</v>
      </c>
      <c r="F349" s="3">
        <v>741057.8112</v>
      </c>
      <c r="G349" s="3">
        <v>872</v>
      </c>
      <c r="H349" s="3">
        <v>249</v>
      </c>
      <c r="I349" s="3" t="s">
        <v>261</v>
      </c>
      <c r="J349" s="18">
        <v>376</v>
      </c>
      <c r="K349" s="18">
        <v>1</v>
      </c>
    </row>
    <row r="350" spans="1:11" ht="25.8" x14ac:dyDescent="0.5">
      <c r="A350" s="2">
        <v>2023</v>
      </c>
      <c r="B350" s="2" t="s">
        <v>12</v>
      </c>
      <c r="C350" s="2" t="s">
        <v>9</v>
      </c>
      <c r="D350" s="2" t="s">
        <v>212</v>
      </c>
      <c r="E350" s="2" t="s">
        <v>17</v>
      </c>
      <c r="F350" s="3">
        <v>749603.6351999999</v>
      </c>
      <c r="G350" s="3">
        <v>795</v>
      </c>
      <c r="H350" s="3">
        <v>469</v>
      </c>
      <c r="I350" s="3" t="s">
        <v>250</v>
      </c>
      <c r="J350" s="18">
        <v>763</v>
      </c>
      <c r="K350" s="18">
        <v>1</v>
      </c>
    </row>
    <row r="351" spans="1:11" ht="25.8" x14ac:dyDescent="0.5">
      <c r="A351" s="2">
        <v>2023</v>
      </c>
      <c r="B351" s="2" t="s">
        <v>50</v>
      </c>
      <c r="C351" s="2" t="s">
        <v>9</v>
      </c>
      <c r="D351" s="2" t="s">
        <v>149</v>
      </c>
      <c r="E351" s="2" t="s">
        <v>22</v>
      </c>
      <c r="F351" s="3">
        <v>752856.24959999998</v>
      </c>
      <c r="G351" s="3">
        <v>968</v>
      </c>
      <c r="H351" s="3">
        <v>330</v>
      </c>
      <c r="I351" s="3" t="s">
        <v>251</v>
      </c>
      <c r="J351" s="18">
        <v>694</v>
      </c>
      <c r="K351" s="18">
        <v>1</v>
      </c>
    </row>
    <row r="352" spans="1:11" ht="25.8" x14ac:dyDescent="0.5">
      <c r="A352" s="2">
        <v>2023</v>
      </c>
      <c r="B352" s="2" t="s">
        <v>8</v>
      </c>
      <c r="C352" s="2" t="s">
        <v>9</v>
      </c>
      <c r="D352" s="2" t="s">
        <v>150</v>
      </c>
      <c r="E352" s="2" t="s">
        <v>14</v>
      </c>
      <c r="F352" s="3">
        <v>757120.08959999995</v>
      </c>
      <c r="G352" s="3">
        <v>839</v>
      </c>
      <c r="H352" s="3">
        <v>983</v>
      </c>
      <c r="I352" s="3" t="s">
        <v>252</v>
      </c>
      <c r="J352" s="18">
        <v>1402</v>
      </c>
      <c r="K352" s="18">
        <v>1</v>
      </c>
    </row>
    <row r="353" spans="1:11" ht="25.8" x14ac:dyDescent="0.5">
      <c r="A353" s="2">
        <v>2023</v>
      </c>
      <c r="B353" s="2" t="s">
        <v>12</v>
      </c>
      <c r="C353" s="2" t="s">
        <v>9</v>
      </c>
      <c r="D353" s="2" t="s">
        <v>213</v>
      </c>
      <c r="E353" s="2" t="s">
        <v>14</v>
      </c>
      <c r="F353" s="3">
        <v>761977.8432</v>
      </c>
      <c r="G353" s="3">
        <v>872</v>
      </c>
      <c r="H353" s="3">
        <v>249</v>
      </c>
      <c r="I353" s="3" t="s">
        <v>253</v>
      </c>
      <c r="J353" s="18">
        <v>465</v>
      </c>
      <c r="K353" s="18">
        <v>1</v>
      </c>
    </row>
    <row r="354" spans="1:11" ht="25.8" x14ac:dyDescent="0.5">
      <c r="A354" s="2">
        <v>2023</v>
      </c>
      <c r="B354" s="2" t="s">
        <v>27</v>
      </c>
      <c r="C354" s="2" t="s">
        <v>9</v>
      </c>
      <c r="D354" s="2" t="s">
        <v>152</v>
      </c>
      <c r="E354" s="2" t="s">
        <v>22</v>
      </c>
      <c r="F354" s="3">
        <v>763730.55359999998</v>
      </c>
      <c r="G354" s="3">
        <v>568</v>
      </c>
      <c r="H354" s="3">
        <v>505</v>
      </c>
      <c r="I354" s="3" t="s">
        <v>254</v>
      </c>
      <c r="J354" s="18">
        <v>1159</v>
      </c>
      <c r="K354" s="18">
        <v>1</v>
      </c>
    </row>
    <row r="355" spans="1:11" ht="25.8" x14ac:dyDescent="0.5">
      <c r="A355" s="2">
        <v>2023</v>
      </c>
      <c r="B355" s="2" t="s">
        <v>18</v>
      </c>
      <c r="C355" s="2" t="s">
        <v>9</v>
      </c>
      <c r="D355" s="2" t="s">
        <v>83</v>
      </c>
      <c r="E355" s="2" t="s">
        <v>14</v>
      </c>
      <c r="F355" s="3">
        <v>764721.44</v>
      </c>
      <c r="G355" s="3">
        <v>168</v>
      </c>
      <c r="H355" s="3">
        <v>97</v>
      </c>
      <c r="I355" s="3" t="s">
        <v>255</v>
      </c>
      <c r="J355" s="18">
        <v>118</v>
      </c>
      <c r="K355" s="18">
        <v>1</v>
      </c>
    </row>
    <row r="356" spans="1:11" ht="25.8" x14ac:dyDescent="0.5">
      <c r="A356" s="2">
        <v>2023</v>
      </c>
      <c r="B356" s="2" t="s">
        <v>18</v>
      </c>
      <c r="C356" s="2" t="s">
        <v>9</v>
      </c>
      <c r="D356" s="2" t="s">
        <v>153</v>
      </c>
      <c r="E356" s="2" t="s">
        <v>35</v>
      </c>
      <c r="F356" s="3">
        <v>766921.47840000002</v>
      </c>
      <c r="G356" s="3">
        <v>930</v>
      </c>
      <c r="H356" s="3">
        <v>563</v>
      </c>
      <c r="I356" s="3" t="s">
        <v>256</v>
      </c>
      <c r="J356" s="18">
        <v>638</v>
      </c>
      <c r="K356" s="18">
        <v>1</v>
      </c>
    </row>
    <row r="357" spans="1:11" ht="25.8" x14ac:dyDescent="0.5">
      <c r="A357" s="2">
        <v>2023</v>
      </c>
      <c r="B357" s="2" t="s">
        <v>29</v>
      </c>
      <c r="C357" s="2" t="s">
        <v>9</v>
      </c>
      <c r="D357" s="2" t="s">
        <v>214</v>
      </c>
      <c r="E357" s="2" t="s">
        <v>20</v>
      </c>
      <c r="F357" s="3">
        <v>814604</v>
      </c>
      <c r="G357" s="3">
        <v>610</v>
      </c>
      <c r="H357" s="3">
        <v>970</v>
      </c>
      <c r="I357" s="3" t="s">
        <v>257</v>
      </c>
      <c r="J357" s="18">
        <v>1456</v>
      </c>
      <c r="K357" s="18">
        <v>1</v>
      </c>
    </row>
    <row r="358" spans="1:11" ht="25.8" x14ac:dyDescent="0.5">
      <c r="A358" s="2">
        <v>2023</v>
      </c>
      <c r="B358" s="2" t="s">
        <v>59</v>
      </c>
      <c r="C358" s="2" t="s">
        <v>9</v>
      </c>
      <c r="D358" s="2" t="s">
        <v>99</v>
      </c>
      <c r="E358" s="2" t="s">
        <v>26</v>
      </c>
      <c r="F358" s="3">
        <v>815366.72</v>
      </c>
      <c r="G358" s="3">
        <v>872</v>
      </c>
      <c r="H358" s="3">
        <v>249</v>
      </c>
      <c r="I358" s="3" t="s">
        <v>258</v>
      </c>
      <c r="J358" s="18">
        <v>428</v>
      </c>
      <c r="K358" s="18">
        <v>1</v>
      </c>
    </row>
    <row r="359" spans="1:11" ht="25.8" x14ac:dyDescent="0.5">
      <c r="A359" s="2">
        <v>2023</v>
      </c>
      <c r="B359" s="2" t="s">
        <v>27</v>
      </c>
      <c r="C359" s="2" t="s">
        <v>9</v>
      </c>
      <c r="D359" s="2" t="s">
        <v>74</v>
      </c>
      <c r="E359" s="2" t="s">
        <v>26</v>
      </c>
      <c r="F359" s="3">
        <v>815624.32</v>
      </c>
      <c r="G359" s="3">
        <v>287</v>
      </c>
      <c r="H359" s="3">
        <v>744</v>
      </c>
      <c r="I359" s="3" t="s">
        <v>259</v>
      </c>
      <c r="J359" s="18">
        <v>1459</v>
      </c>
      <c r="K359" s="18">
        <v>1</v>
      </c>
    </row>
    <row r="360" spans="1:11" ht="25.8" x14ac:dyDescent="0.5">
      <c r="A360" s="2">
        <v>2023</v>
      </c>
      <c r="B360" s="2" t="s">
        <v>50</v>
      </c>
      <c r="C360" s="2" t="s">
        <v>9</v>
      </c>
      <c r="D360" s="2" t="s">
        <v>96</v>
      </c>
      <c r="E360" s="2" t="s">
        <v>14</v>
      </c>
      <c r="F360" s="3">
        <v>816850.72</v>
      </c>
      <c r="G360" s="3">
        <v>312</v>
      </c>
      <c r="H360" s="3">
        <v>983</v>
      </c>
      <c r="I360" s="3" t="s">
        <v>260</v>
      </c>
      <c r="J360" s="18">
        <v>2045</v>
      </c>
      <c r="K360" s="18">
        <v>1</v>
      </c>
    </row>
    <row r="361" spans="1:11" ht="25.8" x14ac:dyDescent="0.5">
      <c r="A361" s="2">
        <v>2023</v>
      </c>
      <c r="B361" s="2" t="s">
        <v>12</v>
      </c>
      <c r="C361" s="2" t="s">
        <v>9</v>
      </c>
      <c r="D361" s="2" t="s">
        <v>215</v>
      </c>
      <c r="E361" s="2" t="s">
        <v>66</v>
      </c>
      <c r="F361" s="3">
        <v>819636.16</v>
      </c>
      <c r="G361" s="3">
        <v>210</v>
      </c>
      <c r="H361" s="3">
        <v>177</v>
      </c>
      <c r="I361" s="3" t="s">
        <v>261</v>
      </c>
      <c r="J361" s="18">
        <v>333</v>
      </c>
      <c r="K361" s="18">
        <v>1</v>
      </c>
    </row>
    <row r="362" spans="1:11" ht="25.8" x14ac:dyDescent="0.5">
      <c r="A362" s="2">
        <v>2023</v>
      </c>
      <c r="B362" s="2" t="s">
        <v>27</v>
      </c>
      <c r="C362" s="2" t="s">
        <v>9</v>
      </c>
      <c r="D362" s="2" t="s">
        <v>216</v>
      </c>
      <c r="E362" s="2" t="s">
        <v>66</v>
      </c>
      <c r="F362" s="3">
        <v>828244.47999999998</v>
      </c>
      <c r="G362" s="3">
        <v>577</v>
      </c>
      <c r="H362" s="3">
        <v>175</v>
      </c>
      <c r="I362" s="3" t="s">
        <v>250</v>
      </c>
      <c r="J362" s="18">
        <v>373</v>
      </c>
      <c r="K362" s="18">
        <v>1</v>
      </c>
    </row>
    <row r="363" spans="1:11" ht="25.8" x14ac:dyDescent="0.5">
      <c r="A363" s="2">
        <v>2023</v>
      </c>
      <c r="B363" s="2" t="s">
        <v>27</v>
      </c>
      <c r="C363" s="2" t="s">
        <v>9</v>
      </c>
      <c r="D363" s="2" t="s">
        <v>217</v>
      </c>
      <c r="E363" s="2" t="s">
        <v>66</v>
      </c>
      <c r="F363" s="3">
        <v>861855.67999999993</v>
      </c>
      <c r="G363" s="3">
        <v>210</v>
      </c>
      <c r="H363" s="3">
        <v>177</v>
      </c>
      <c r="I363" s="3" t="s">
        <v>251</v>
      </c>
      <c r="J363" s="18">
        <v>401</v>
      </c>
      <c r="K363" s="18">
        <v>1</v>
      </c>
    </row>
    <row r="364" spans="1:11" ht="25.8" x14ac:dyDescent="0.5">
      <c r="A364" s="2">
        <v>2023</v>
      </c>
      <c r="B364" s="2" t="s">
        <v>12</v>
      </c>
      <c r="C364" s="2" t="s">
        <v>9</v>
      </c>
      <c r="D364" s="2" t="s">
        <v>218</v>
      </c>
      <c r="E364" s="2" t="s">
        <v>20</v>
      </c>
      <c r="F364" s="3">
        <v>880596.05759999994</v>
      </c>
      <c r="G364" s="3">
        <v>577</v>
      </c>
      <c r="H364" s="3">
        <v>175</v>
      </c>
      <c r="I364" s="3" t="s">
        <v>252</v>
      </c>
      <c r="J364" s="18">
        <v>243</v>
      </c>
      <c r="K364" s="18">
        <v>1</v>
      </c>
    </row>
    <row r="365" spans="1:11" ht="25.8" x14ac:dyDescent="0.5">
      <c r="A365" s="2">
        <v>2023</v>
      </c>
      <c r="B365" s="2" t="s">
        <v>29</v>
      </c>
      <c r="C365" s="2" t="s">
        <v>9</v>
      </c>
      <c r="D365" s="2" t="s">
        <v>164</v>
      </c>
      <c r="E365" s="2" t="s">
        <v>38</v>
      </c>
      <c r="F365" s="3">
        <v>885207.05280000006</v>
      </c>
      <c r="G365" s="3">
        <v>692</v>
      </c>
      <c r="H365" s="3">
        <v>300</v>
      </c>
      <c r="I365" s="3" t="s">
        <v>253</v>
      </c>
      <c r="J365" s="18">
        <v>423</v>
      </c>
      <c r="K365" s="18">
        <v>1</v>
      </c>
    </row>
    <row r="366" spans="1:11" ht="25.8" x14ac:dyDescent="0.5">
      <c r="A366" s="2">
        <v>2023</v>
      </c>
      <c r="B366" s="2" t="s">
        <v>59</v>
      </c>
      <c r="C366" s="2" t="s">
        <v>9</v>
      </c>
      <c r="D366" s="2" t="s">
        <v>165</v>
      </c>
      <c r="E366" s="2" t="s">
        <v>20</v>
      </c>
      <c r="F366" s="3">
        <v>894504.03839999996</v>
      </c>
      <c r="G366" s="3">
        <v>692</v>
      </c>
      <c r="H366" s="3">
        <v>300</v>
      </c>
      <c r="I366" s="3" t="s">
        <v>254</v>
      </c>
      <c r="J366" s="18">
        <v>717</v>
      </c>
      <c r="K366" s="18">
        <v>1</v>
      </c>
    </row>
    <row r="367" spans="1:11" ht="25.8" x14ac:dyDescent="0.5">
      <c r="A367" s="2">
        <v>2023</v>
      </c>
      <c r="B367" s="2" t="s">
        <v>12</v>
      </c>
      <c r="C367" s="2" t="s">
        <v>9</v>
      </c>
      <c r="D367" s="2" t="s">
        <v>119</v>
      </c>
      <c r="E367" s="2" t="s">
        <v>22</v>
      </c>
      <c r="F367" s="3">
        <v>905044</v>
      </c>
      <c r="G367" s="3">
        <v>413</v>
      </c>
      <c r="H367" s="3">
        <v>930</v>
      </c>
      <c r="I367" s="3" t="s">
        <v>255</v>
      </c>
      <c r="J367" s="18">
        <v>1327</v>
      </c>
      <c r="K367" s="18">
        <v>1</v>
      </c>
    </row>
    <row r="368" spans="1:11" ht="25.8" x14ac:dyDescent="0.5">
      <c r="A368" s="2">
        <v>2023</v>
      </c>
      <c r="B368" s="2" t="s">
        <v>59</v>
      </c>
      <c r="C368" s="2" t="s">
        <v>9</v>
      </c>
      <c r="D368" s="2" t="s">
        <v>179</v>
      </c>
      <c r="E368" s="2" t="s">
        <v>26</v>
      </c>
      <c r="F368" s="3">
        <v>907698.4</v>
      </c>
      <c r="G368" s="3">
        <v>312</v>
      </c>
      <c r="H368" s="3">
        <v>983</v>
      </c>
      <c r="I368" s="3" t="s">
        <v>256</v>
      </c>
      <c r="J368" s="18">
        <v>2100</v>
      </c>
      <c r="K368" s="18">
        <v>1</v>
      </c>
    </row>
    <row r="369" spans="1:11" ht="25.8" x14ac:dyDescent="0.5">
      <c r="A369" s="2">
        <v>2023</v>
      </c>
      <c r="B369" s="2" t="s">
        <v>18</v>
      </c>
      <c r="C369" s="2" t="s">
        <v>9</v>
      </c>
      <c r="D369" s="2" t="s">
        <v>121</v>
      </c>
      <c r="E369" s="2" t="s">
        <v>14</v>
      </c>
      <c r="F369" s="3">
        <v>911080.8</v>
      </c>
      <c r="G369" s="3">
        <v>610</v>
      </c>
      <c r="H369" s="3">
        <v>970</v>
      </c>
      <c r="I369" s="3" t="s">
        <v>257</v>
      </c>
      <c r="J369" s="18">
        <v>2083</v>
      </c>
      <c r="K369" s="18">
        <v>1</v>
      </c>
    </row>
    <row r="370" spans="1:11" ht="25.8" x14ac:dyDescent="0.5">
      <c r="A370" s="2">
        <v>2023</v>
      </c>
      <c r="B370" s="2" t="s">
        <v>29</v>
      </c>
      <c r="C370" s="2" t="s">
        <v>9</v>
      </c>
      <c r="D370" s="2" t="s">
        <v>219</v>
      </c>
      <c r="E370" s="2" t="s">
        <v>20</v>
      </c>
      <c r="F370" s="3">
        <v>925289.12</v>
      </c>
      <c r="G370" s="3">
        <v>610</v>
      </c>
      <c r="H370" s="3">
        <v>970</v>
      </c>
      <c r="I370" s="3" t="s">
        <v>258</v>
      </c>
      <c r="J370" s="18">
        <v>1393</v>
      </c>
      <c r="K370" s="18">
        <v>1</v>
      </c>
    </row>
    <row r="371" spans="1:11" ht="25.8" x14ac:dyDescent="0.5">
      <c r="A371" s="2">
        <v>2023</v>
      </c>
      <c r="B371" s="2" t="s">
        <v>54</v>
      </c>
      <c r="C371" s="2" t="s">
        <v>9</v>
      </c>
      <c r="D371" s="2" t="s">
        <v>64</v>
      </c>
      <c r="E371" s="2" t="s">
        <v>14</v>
      </c>
      <c r="F371" s="3">
        <v>928877.6</v>
      </c>
      <c r="G371" s="3">
        <v>577</v>
      </c>
      <c r="H371" s="3">
        <v>175</v>
      </c>
      <c r="I371" s="3" t="s">
        <v>259</v>
      </c>
      <c r="J371" s="18">
        <v>390</v>
      </c>
      <c r="K371" s="18">
        <v>1</v>
      </c>
    </row>
    <row r="372" spans="1:11" ht="25.8" x14ac:dyDescent="0.5">
      <c r="A372" s="2">
        <v>2023</v>
      </c>
      <c r="B372" s="2" t="s">
        <v>27</v>
      </c>
      <c r="C372" s="2" t="s">
        <v>9</v>
      </c>
      <c r="D372" s="2" t="s">
        <v>167</v>
      </c>
      <c r="E372" s="2" t="s">
        <v>38</v>
      </c>
      <c r="F372" s="3">
        <v>930804.13439999998</v>
      </c>
      <c r="G372" s="3">
        <v>839</v>
      </c>
      <c r="H372" s="3">
        <v>334</v>
      </c>
      <c r="I372" s="3" t="s">
        <v>260</v>
      </c>
      <c r="J372" s="18">
        <v>597</v>
      </c>
      <c r="K372" s="18">
        <v>1</v>
      </c>
    </row>
    <row r="373" spans="1:11" ht="25.8" x14ac:dyDescent="0.5">
      <c r="A373" s="2">
        <v>2023</v>
      </c>
      <c r="B373" s="2" t="s">
        <v>12</v>
      </c>
      <c r="C373" s="2" t="s">
        <v>9</v>
      </c>
      <c r="D373" s="2" t="s">
        <v>220</v>
      </c>
      <c r="E373" s="2" t="s">
        <v>14</v>
      </c>
      <c r="F373" s="3">
        <v>935664.8</v>
      </c>
      <c r="G373" s="3">
        <v>930</v>
      </c>
      <c r="H373" s="3">
        <v>563</v>
      </c>
      <c r="I373" s="3" t="s">
        <v>261</v>
      </c>
      <c r="J373" s="18">
        <v>1325</v>
      </c>
      <c r="K373" s="18">
        <v>1</v>
      </c>
    </row>
    <row r="374" spans="1:11" ht="25.8" x14ac:dyDescent="0.5">
      <c r="A374" s="2">
        <v>2023</v>
      </c>
      <c r="B374" s="2" t="s">
        <v>27</v>
      </c>
      <c r="C374" s="2" t="s">
        <v>9</v>
      </c>
      <c r="D374" s="2" t="s">
        <v>107</v>
      </c>
      <c r="E374" s="2" t="s">
        <v>20</v>
      </c>
      <c r="F374" s="3">
        <v>937183.52</v>
      </c>
      <c r="G374" s="3">
        <v>784</v>
      </c>
      <c r="H374" s="3">
        <v>540</v>
      </c>
      <c r="I374" s="3" t="s">
        <v>250</v>
      </c>
      <c r="J374" s="18">
        <v>1286</v>
      </c>
      <c r="K374" s="18">
        <v>1</v>
      </c>
    </row>
    <row r="375" spans="1:11" ht="25.8" x14ac:dyDescent="0.5">
      <c r="A375" s="2">
        <v>2023</v>
      </c>
      <c r="B375" s="2" t="s">
        <v>8</v>
      </c>
      <c r="C375" s="2" t="s">
        <v>9</v>
      </c>
      <c r="D375" s="2" t="s">
        <v>221</v>
      </c>
      <c r="E375" s="2" t="s">
        <v>14</v>
      </c>
      <c r="F375" s="3">
        <v>951972</v>
      </c>
      <c r="G375" s="3">
        <v>93</v>
      </c>
      <c r="H375" s="3">
        <v>852</v>
      </c>
      <c r="I375" s="3" t="s">
        <v>251</v>
      </c>
      <c r="J375" s="18">
        <v>1315</v>
      </c>
      <c r="K375" s="18">
        <v>1</v>
      </c>
    </row>
    <row r="376" spans="1:11" ht="25.8" x14ac:dyDescent="0.5">
      <c r="A376" s="2">
        <v>2023</v>
      </c>
      <c r="B376" s="2" t="s">
        <v>27</v>
      </c>
      <c r="C376" s="2" t="s">
        <v>9</v>
      </c>
      <c r="D376" s="2" t="s">
        <v>222</v>
      </c>
      <c r="E376" s="2" t="s">
        <v>14</v>
      </c>
      <c r="F376" s="3">
        <v>954561.44</v>
      </c>
      <c r="G376" s="3">
        <v>784</v>
      </c>
      <c r="H376" s="3">
        <v>540</v>
      </c>
      <c r="I376" s="3" t="s">
        <v>252</v>
      </c>
      <c r="J376" s="18">
        <v>1220</v>
      </c>
      <c r="K376" s="18">
        <v>1</v>
      </c>
    </row>
    <row r="377" spans="1:11" ht="25.8" x14ac:dyDescent="0.5">
      <c r="A377" s="2">
        <v>2023</v>
      </c>
      <c r="B377" s="2" t="s">
        <v>50</v>
      </c>
      <c r="C377" s="2" t="s">
        <v>9</v>
      </c>
      <c r="D377" s="2" t="s">
        <v>223</v>
      </c>
      <c r="E377" s="2" t="s">
        <v>20</v>
      </c>
      <c r="F377" s="3">
        <v>964759.04000000004</v>
      </c>
      <c r="G377" s="3">
        <v>210</v>
      </c>
      <c r="H377" s="3">
        <v>177</v>
      </c>
      <c r="I377" s="3" t="s">
        <v>253</v>
      </c>
      <c r="J377" s="18">
        <v>336</v>
      </c>
      <c r="K377" s="18">
        <v>1</v>
      </c>
    </row>
    <row r="378" spans="1:11" ht="25.8" x14ac:dyDescent="0.5">
      <c r="A378" s="2">
        <v>2023</v>
      </c>
      <c r="B378" s="2" t="s">
        <v>29</v>
      </c>
      <c r="C378" s="2" t="s">
        <v>9</v>
      </c>
      <c r="D378" s="2" t="s">
        <v>224</v>
      </c>
      <c r="E378" s="2" t="s">
        <v>17</v>
      </c>
      <c r="F378" s="3">
        <v>966179.2</v>
      </c>
      <c r="G378" s="3">
        <v>839</v>
      </c>
      <c r="H378" s="3">
        <v>983</v>
      </c>
      <c r="I378" s="3" t="s">
        <v>254</v>
      </c>
      <c r="J378" s="18">
        <v>1633</v>
      </c>
      <c r="K378" s="18">
        <v>1</v>
      </c>
    </row>
    <row r="379" spans="1:11" ht="25.8" x14ac:dyDescent="0.5">
      <c r="A379" s="2">
        <v>2023</v>
      </c>
      <c r="B379" s="2" t="s">
        <v>29</v>
      </c>
      <c r="C379" s="2" t="s">
        <v>9</v>
      </c>
      <c r="D379" s="2" t="s">
        <v>225</v>
      </c>
      <c r="E379" s="2" t="s">
        <v>22</v>
      </c>
      <c r="F379" s="3">
        <v>972447.84</v>
      </c>
      <c r="G379" s="3">
        <v>413</v>
      </c>
      <c r="H379" s="3">
        <v>930</v>
      </c>
      <c r="I379" s="3" t="s">
        <v>255</v>
      </c>
      <c r="J379" s="18">
        <v>1382</v>
      </c>
      <c r="K379" s="18">
        <v>1</v>
      </c>
    </row>
    <row r="380" spans="1:11" ht="25.8" x14ac:dyDescent="0.5">
      <c r="A380" s="2">
        <v>2023</v>
      </c>
      <c r="B380" s="2" t="s">
        <v>23</v>
      </c>
      <c r="C380" s="2" t="s">
        <v>9</v>
      </c>
      <c r="D380" s="2" t="s">
        <v>142</v>
      </c>
      <c r="E380" s="2" t="s">
        <v>14</v>
      </c>
      <c r="F380" s="3">
        <v>972776</v>
      </c>
      <c r="G380" s="3">
        <v>784</v>
      </c>
      <c r="H380" s="3">
        <v>540</v>
      </c>
      <c r="I380" s="3" t="s">
        <v>256</v>
      </c>
      <c r="J380" s="18">
        <v>969</v>
      </c>
      <c r="K380" s="18">
        <v>1</v>
      </c>
    </row>
    <row r="381" spans="1:11" ht="25.8" x14ac:dyDescent="0.5">
      <c r="A381" s="2">
        <v>2023</v>
      </c>
      <c r="B381" s="2" t="s">
        <v>18</v>
      </c>
      <c r="C381" s="2" t="s">
        <v>9</v>
      </c>
      <c r="D381" s="2" t="s">
        <v>90</v>
      </c>
      <c r="E381" s="2" t="s">
        <v>20</v>
      </c>
      <c r="F381" s="3">
        <v>972776</v>
      </c>
      <c r="G381" s="3">
        <v>312</v>
      </c>
      <c r="H381" s="3">
        <v>983</v>
      </c>
      <c r="I381" s="3" t="s">
        <v>257</v>
      </c>
      <c r="J381" s="18">
        <v>1474</v>
      </c>
      <c r="K381" s="18">
        <v>1</v>
      </c>
    </row>
    <row r="382" spans="1:11" ht="25.8" x14ac:dyDescent="0.5">
      <c r="A382" s="2">
        <v>2023</v>
      </c>
      <c r="B382" s="2" t="s">
        <v>12</v>
      </c>
      <c r="C382" s="2" t="s">
        <v>9</v>
      </c>
      <c r="D382" s="2" t="s">
        <v>113</v>
      </c>
      <c r="E382" s="2" t="s">
        <v>35</v>
      </c>
      <c r="F382" s="3">
        <v>979711.89119999995</v>
      </c>
      <c r="G382" s="3">
        <v>872</v>
      </c>
      <c r="H382" s="3">
        <v>249</v>
      </c>
      <c r="I382" s="3" t="s">
        <v>258</v>
      </c>
      <c r="J382" s="18">
        <v>572</v>
      </c>
      <c r="K382" s="18">
        <v>1</v>
      </c>
    </row>
    <row r="383" spans="1:11" ht="25.8" x14ac:dyDescent="0.5">
      <c r="A383" s="2">
        <v>2023</v>
      </c>
      <c r="B383" s="2" t="s">
        <v>50</v>
      </c>
      <c r="C383" s="2" t="s">
        <v>9</v>
      </c>
      <c r="D383" s="2" t="s">
        <v>19</v>
      </c>
      <c r="E383" s="2" t="s">
        <v>14</v>
      </c>
      <c r="F383" s="3">
        <v>987995.67999999993</v>
      </c>
      <c r="G383" s="3">
        <v>210</v>
      </c>
      <c r="H383" s="3">
        <v>177</v>
      </c>
      <c r="I383" s="3" t="s">
        <v>259</v>
      </c>
      <c r="J383" s="18">
        <v>367</v>
      </c>
      <c r="K383" s="18">
        <v>1</v>
      </c>
    </row>
    <row r="384" spans="1:11" ht="25.8" x14ac:dyDescent="0.5">
      <c r="A384" s="2">
        <v>2023</v>
      </c>
      <c r="B384" s="2" t="s">
        <v>12</v>
      </c>
      <c r="C384" s="2" t="s">
        <v>9</v>
      </c>
      <c r="D384" s="2" t="s">
        <v>170</v>
      </c>
      <c r="E384" s="2" t="s">
        <v>38</v>
      </c>
      <c r="F384" s="3">
        <v>999312.24959999998</v>
      </c>
      <c r="G384" s="3">
        <v>610</v>
      </c>
      <c r="H384" s="3">
        <v>970</v>
      </c>
      <c r="I384" s="3" t="s">
        <v>260</v>
      </c>
      <c r="J384" s="18">
        <v>2089</v>
      </c>
      <c r="K384" s="18">
        <v>1</v>
      </c>
    </row>
    <row r="385" spans="1:11" ht="25.8" x14ac:dyDescent="0.5">
      <c r="A385" s="2">
        <v>2023</v>
      </c>
      <c r="B385" s="2" t="s">
        <v>12</v>
      </c>
      <c r="C385" s="2" t="s">
        <v>9</v>
      </c>
      <c r="D385" s="2" t="s">
        <v>163</v>
      </c>
      <c r="E385" s="2" t="s">
        <v>22</v>
      </c>
      <c r="F385" s="3">
        <v>1001066.08</v>
      </c>
      <c r="G385" s="3">
        <v>692</v>
      </c>
      <c r="H385" s="3">
        <v>300</v>
      </c>
      <c r="I385" s="3" t="s">
        <v>261</v>
      </c>
      <c r="J385" s="18">
        <v>402</v>
      </c>
      <c r="K385" s="18">
        <v>1</v>
      </c>
    </row>
    <row r="386" spans="1:11" ht="25.8" x14ac:dyDescent="0.5">
      <c r="A386" s="2">
        <v>2023</v>
      </c>
      <c r="B386" s="2" t="s">
        <v>29</v>
      </c>
      <c r="C386" s="2" t="s">
        <v>9</v>
      </c>
      <c r="D386" s="2" t="s">
        <v>156</v>
      </c>
      <c r="E386" s="2" t="s">
        <v>26</v>
      </c>
      <c r="F386" s="3">
        <v>1001880.32</v>
      </c>
      <c r="G386" s="3">
        <v>839</v>
      </c>
      <c r="H386" s="3">
        <v>334</v>
      </c>
      <c r="I386" s="3" t="s">
        <v>250</v>
      </c>
      <c r="J386" s="18">
        <v>782</v>
      </c>
      <c r="K386" s="18">
        <v>1</v>
      </c>
    </row>
    <row r="387" spans="1:11" ht="25.8" x14ac:dyDescent="0.5">
      <c r="A387" s="2">
        <v>2023</v>
      </c>
      <c r="B387" s="2" t="s">
        <v>50</v>
      </c>
      <c r="C387" s="2" t="s">
        <v>9</v>
      </c>
      <c r="D387" s="2" t="s">
        <v>133</v>
      </c>
      <c r="E387" s="2" t="s">
        <v>14</v>
      </c>
      <c r="F387" s="3">
        <v>1010517.9840000001</v>
      </c>
      <c r="G387" s="3">
        <v>413</v>
      </c>
      <c r="H387" s="3">
        <v>930</v>
      </c>
      <c r="I387" s="3" t="s">
        <v>251</v>
      </c>
      <c r="J387" s="18">
        <v>1496</v>
      </c>
      <c r="K387" s="18">
        <v>1</v>
      </c>
    </row>
    <row r="388" spans="1:11" ht="25.8" x14ac:dyDescent="0.5">
      <c r="A388" s="2">
        <v>2023</v>
      </c>
      <c r="B388" s="2" t="s">
        <v>59</v>
      </c>
      <c r="C388" s="2" t="s">
        <v>9</v>
      </c>
      <c r="D388" s="2" t="s">
        <v>168</v>
      </c>
      <c r="E388" s="2" t="s">
        <v>22</v>
      </c>
      <c r="F388" s="3">
        <v>1019351.2</v>
      </c>
      <c r="G388" s="3">
        <v>577</v>
      </c>
      <c r="H388" s="3">
        <v>175</v>
      </c>
      <c r="I388" s="3" t="s">
        <v>252</v>
      </c>
      <c r="J388" s="18">
        <v>413</v>
      </c>
      <c r="K388" s="18">
        <v>1</v>
      </c>
    </row>
    <row r="389" spans="1:11" ht="25.8" x14ac:dyDescent="0.5">
      <c r="A389" s="2">
        <v>2023</v>
      </c>
      <c r="B389" s="2" t="s">
        <v>12</v>
      </c>
      <c r="C389" s="2" t="s">
        <v>9</v>
      </c>
      <c r="D389" s="2" t="s">
        <v>58</v>
      </c>
      <c r="E389" s="2" t="s">
        <v>14</v>
      </c>
      <c r="F389" s="3">
        <v>1029721.28</v>
      </c>
      <c r="G389" s="3">
        <v>692</v>
      </c>
      <c r="H389" s="3">
        <v>300</v>
      </c>
      <c r="I389" s="3" t="s">
        <v>253</v>
      </c>
      <c r="J389" s="18">
        <v>447</v>
      </c>
      <c r="K389" s="18">
        <v>1</v>
      </c>
    </row>
    <row r="390" spans="1:11" ht="25.8" x14ac:dyDescent="0.5">
      <c r="A390" s="2">
        <v>2023</v>
      </c>
      <c r="B390" s="2" t="s">
        <v>50</v>
      </c>
      <c r="C390" s="2" t="s">
        <v>9</v>
      </c>
      <c r="D390" s="2" t="s">
        <v>115</v>
      </c>
      <c r="E390" s="2" t="s">
        <v>20</v>
      </c>
      <c r="F390" s="3">
        <v>1031250.08</v>
      </c>
      <c r="G390" s="3">
        <v>692</v>
      </c>
      <c r="H390" s="3">
        <v>300</v>
      </c>
      <c r="I390" s="3" t="s">
        <v>254</v>
      </c>
      <c r="J390" s="18">
        <v>469</v>
      </c>
      <c r="K390" s="18">
        <v>1</v>
      </c>
    </row>
    <row r="391" spans="1:11" ht="25.8" x14ac:dyDescent="0.5">
      <c r="A391" s="2">
        <v>2023</v>
      </c>
      <c r="B391" s="2" t="s">
        <v>12</v>
      </c>
      <c r="C391" s="2" t="s">
        <v>9</v>
      </c>
      <c r="D391" s="2" t="s">
        <v>88</v>
      </c>
      <c r="E391" s="2" t="s">
        <v>20</v>
      </c>
      <c r="F391" s="3">
        <v>1043473.536</v>
      </c>
      <c r="G391" s="3">
        <v>568</v>
      </c>
      <c r="H391" s="3">
        <v>505</v>
      </c>
      <c r="I391" s="3" t="s">
        <v>255</v>
      </c>
      <c r="J391" s="18">
        <v>742</v>
      </c>
      <c r="K391" s="18">
        <v>1</v>
      </c>
    </row>
    <row r="392" spans="1:11" ht="25.8" x14ac:dyDescent="0.5">
      <c r="A392" s="2">
        <v>2023</v>
      </c>
      <c r="B392" s="2" t="s">
        <v>29</v>
      </c>
      <c r="C392" s="2" t="s">
        <v>9</v>
      </c>
      <c r="D392" s="2" t="s">
        <v>226</v>
      </c>
      <c r="E392" s="2" t="s">
        <v>26</v>
      </c>
      <c r="F392" s="3">
        <v>1053598.56</v>
      </c>
      <c r="G392" s="3">
        <v>597</v>
      </c>
      <c r="H392" s="3">
        <v>287</v>
      </c>
      <c r="I392" s="3" t="s">
        <v>256</v>
      </c>
      <c r="J392" s="18">
        <v>328</v>
      </c>
      <c r="K392" s="18">
        <v>1</v>
      </c>
    </row>
    <row r="393" spans="1:11" ht="25.8" x14ac:dyDescent="0.5">
      <c r="A393" s="2">
        <v>2023</v>
      </c>
      <c r="B393" s="2" t="s">
        <v>18</v>
      </c>
      <c r="C393" s="2" t="s">
        <v>9</v>
      </c>
      <c r="D393" s="2" t="s">
        <v>169</v>
      </c>
      <c r="E393" s="2" t="s">
        <v>26</v>
      </c>
      <c r="F393" s="3">
        <v>1055253.92</v>
      </c>
      <c r="G393" s="3">
        <v>577</v>
      </c>
      <c r="H393" s="3">
        <v>175</v>
      </c>
      <c r="I393" s="3" t="s">
        <v>257</v>
      </c>
      <c r="J393" s="18">
        <v>264</v>
      </c>
      <c r="K393" s="18">
        <v>1</v>
      </c>
    </row>
    <row r="394" spans="1:11" ht="25.8" x14ac:dyDescent="0.5">
      <c r="A394" s="2">
        <v>2023</v>
      </c>
      <c r="B394" s="2" t="s">
        <v>27</v>
      </c>
      <c r="C394" s="2" t="s">
        <v>9</v>
      </c>
      <c r="D394" s="2" t="s">
        <v>130</v>
      </c>
      <c r="E394" s="2" t="s">
        <v>66</v>
      </c>
      <c r="F394" s="3">
        <v>1067035.3344000001</v>
      </c>
      <c r="G394" s="3">
        <v>413</v>
      </c>
      <c r="H394" s="3">
        <v>930</v>
      </c>
      <c r="I394" s="3" t="s">
        <v>258</v>
      </c>
      <c r="J394" s="18">
        <v>1927</v>
      </c>
      <c r="K394" s="18">
        <v>1</v>
      </c>
    </row>
    <row r="395" spans="1:11" ht="25.8" x14ac:dyDescent="0.5">
      <c r="A395" s="2">
        <v>2023</v>
      </c>
      <c r="B395" s="2" t="s">
        <v>15</v>
      </c>
      <c r="C395" s="2" t="s">
        <v>9</v>
      </c>
      <c r="D395" s="2" t="s">
        <v>55</v>
      </c>
      <c r="E395" s="2" t="s">
        <v>17</v>
      </c>
      <c r="F395" s="3">
        <v>1070216</v>
      </c>
      <c r="G395" s="3">
        <v>93</v>
      </c>
      <c r="H395" s="3">
        <v>852</v>
      </c>
      <c r="I395" s="3" t="s">
        <v>259</v>
      </c>
      <c r="J395" s="18">
        <v>1447</v>
      </c>
      <c r="K395" s="18">
        <v>1</v>
      </c>
    </row>
    <row r="396" spans="1:11" ht="25.8" x14ac:dyDescent="0.5">
      <c r="A396" s="2">
        <v>2023</v>
      </c>
      <c r="B396" s="2" t="s">
        <v>15</v>
      </c>
      <c r="C396" s="2" t="s">
        <v>9</v>
      </c>
      <c r="D396" s="2" t="s">
        <v>177</v>
      </c>
      <c r="E396" s="2" t="s">
        <v>35</v>
      </c>
      <c r="F396" s="3">
        <v>1092370.72</v>
      </c>
      <c r="G396" s="3">
        <v>795</v>
      </c>
      <c r="H396" s="3">
        <v>469</v>
      </c>
      <c r="I396" s="3" t="s">
        <v>260</v>
      </c>
      <c r="J396" s="18">
        <v>611</v>
      </c>
      <c r="K396" s="18">
        <v>1</v>
      </c>
    </row>
    <row r="397" spans="1:11" ht="25.8" x14ac:dyDescent="0.5">
      <c r="A397" s="2">
        <v>2023</v>
      </c>
      <c r="B397" s="2" t="s">
        <v>23</v>
      </c>
      <c r="C397" s="2" t="s">
        <v>9</v>
      </c>
      <c r="D397" s="2" t="s">
        <v>47</v>
      </c>
      <c r="E397" s="2" t="s">
        <v>17</v>
      </c>
      <c r="F397" s="3">
        <v>1109746.3104000001</v>
      </c>
      <c r="G397" s="3">
        <v>312</v>
      </c>
      <c r="H397" s="3">
        <v>983</v>
      </c>
      <c r="I397" s="3" t="s">
        <v>261</v>
      </c>
      <c r="J397" s="18">
        <v>1360</v>
      </c>
      <c r="K397" s="18">
        <v>1</v>
      </c>
    </row>
    <row r="398" spans="1:11" ht="25.8" x14ac:dyDescent="0.5">
      <c r="A398" s="2">
        <v>2023</v>
      </c>
      <c r="B398" s="2" t="s">
        <v>50</v>
      </c>
      <c r="C398" s="2" t="s">
        <v>9</v>
      </c>
      <c r="D398" s="2" t="s">
        <v>25</v>
      </c>
      <c r="E398" s="2" t="s">
        <v>14</v>
      </c>
      <c r="F398" s="3">
        <v>1109916.6399999999</v>
      </c>
      <c r="G398" s="3">
        <v>839</v>
      </c>
      <c r="H398" s="3">
        <v>334</v>
      </c>
      <c r="I398" s="3" t="s">
        <v>250</v>
      </c>
      <c r="J398" s="18">
        <v>375</v>
      </c>
      <c r="K398" s="18">
        <v>1</v>
      </c>
    </row>
    <row r="399" spans="1:11" ht="25.8" x14ac:dyDescent="0.5">
      <c r="A399" s="2">
        <v>2023</v>
      </c>
      <c r="B399" s="2" t="s">
        <v>15</v>
      </c>
      <c r="C399" s="2" t="s">
        <v>9</v>
      </c>
      <c r="D399" s="2" t="s">
        <v>124</v>
      </c>
      <c r="E399" s="2" t="s">
        <v>38</v>
      </c>
      <c r="F399" s="3">
        <v>1113750.0863999999</v>
      </c>
      <c r="G399" s="3">
        <v>287</v>
      </c>
      <c r="H399" s="3">
        <v>744</v>
      </c>
      <c r="I399" s="3" t="s">
        <v>251</v>
      </c>
      <c r="J399" s="18">
        <v>1218</v>
      </c>
      <c r="K399" s="18">
        <v>1</v>
      </c>
    </row>
    <row r="400" spans="1:11" ht="25.8" x14ac:dyDescent="0.5">
      <c r="A400" s="2">
        <v>2023</v>
      </c>
      <c r="B400" s="2" t="s">
        <v>12</v>
      </c>
      <c r="C400" s="2" t="s">
        <v>9</v>
      </c>
      <c r="D400" s="2" t="s">
        <v>120</v>
      </c>
      <c r="E400" s="2" t="s">
        <v>35</v>
      </c>
      <c r="F400" s="3">
        <v>1115106.72</v>
      </c>
      <c r="G400" s="3">
        <v>168</v>
      </c>
      <c r="H400" s="3">
        <v>97</v>
      </c>
      <c r="I400" s="3" t="s">
        <v>252</v>
      </c>
      <c r="J400" s="18">
        <v>140</v>
      </c>
      <c r="K400" s="18">
        <v>1</v>
      </c>
    </row>
    <row r="401" spans="1:11" ht="25.8" x14ac:dyDescent="0.5">
      <c r="A401" s="2">
        <v>2023</v>
      </c>
      <c r="B401" s="2" t="s">
        <v>8</v>
      </c>
      <c r="C401" s="2" t="s">
        <v>9</v>
      </c>
      <c r="D401" s="2" t="s">
        <v>183</v>
      </c>
      <c r="E401" s="2" t="s">
        <v>20</v>
      </c>
      <c r="F401" s="3">
        <v>1137886.4448000002</v>
      </c>
      <c r="G401" s="3">
        <v>839</v>
      </c>
      <c r="H401" s="3">
        <v>334</v>
      </c>
      <c r="I401" s="3" t="s">
        <v>253</v>
      </c>
      <c r="J401" s="18">
        <v>650</v>
      </c>
      <c r="K401" s="18">
        <v>1</v>
      </c>
    </row>
    <row r="402" spans="1:11" ht="25.8" x14ac:dyDescent="0.5">
      <c r="A402" s="2">
        <v>2023</v>
      </c>
      <c r="B402" s="2" t="s">
        <v>8</v>
      </c>
      <c r="C402" s="2" t="s">
        <v>9</v>
      </c>
      <c r="D402" s="2" t="s">
        <v>227</v>
      </c>
      <c r="E402" s="2" t="s">
        <v>66</v>
      </c>
      <c r="F402" s="3">
        <v>1155833.28</v>
      </c>
      <c r="G402" s="3">
        <v>839</v>
      </c>
      <c r="H402" s="3">
        <v>334</v>
      </c>
      <c r="I402" s="3" t="s">
        <v>254</v>
      </c>
      <c r="J402" s="18">
        <v>533</v>
      </c>
      <c r="K402" s="18">
        <v>1</v>
      </c>
    </row>
    <row r="403" spans="1:11" ht="25.8" x14ac:dyDescent="0.5">
      <c r="A403" s="2">
        <v>2023</v>
      </c>
      <c r="B403" s="2" t="s">
        <v>50</v>
      </c>
      <c r="C403" s="2" t="s">
        <v>9</v>
      </c>
      <c r="D403" s="2" t="s">
        <v>181</v>
      </c>
      <c r="E403" s="2" t="s">
        <v>17</v>
      </c>
      <c r="F403" s="3">
        <v>1179760.3776</v>
      </c>
      <c r="G403" s="3">
        <v>795</v>
      </c>
      <c r="H403" s="3">
        <v>469</v>
      </c>
      <c r="I403" s="3" t="s">
        <v>255</v>
      </c>
      <c r="J403" s="18">
        <v>913</v>
      </c>
      <c r="K403" s="18">
        <v>1</v>
      </c>
    </row>
    <row r="404" spans="1:11" ht="25.8" x14ac:dyDescent="0.5">
      <c r="A404" s="2">
        <v>2023</v>
      </c>
      <c r="B404" s="2" t="s">
        <v>15</v>
      </c>
      <c r="C404" s="2" t="s">
        <v>9</v>
      </c>
      <c r="D404" s="2" t="s">
        <v>182</v>
      </c>
      <c r="E404" s="2" t="s">
        <v>66</v>
      </c>
      <c r="F404" s="3">
        <v>1180128.0959999999</v>
      </c>
      <c r="G404" s="3">
        <v>610</v>
      </c>
      <c r="H404" s="3">
        <v>970</v>
      </c>
      <c r="I404" s="3" t="s">
        <v>256</v>
      </c>
      <c r="J404" s="18">
        <v>2335</v>
      </c>
      <c r="K404" s="18">
        <v>1</v>
      </c>
    </row>
    <row r="405" spans="1:11" ht="25.8" x14ac:dyDescent="0.5">
      <c r="A405" s="2">
        <v>2023</v>
      </c>
      <c r="B405" s="2" t="s">
        <v>50</v>
      </c>
      <c r="C405" s="2" t="s">
        <v>9</v>
      </c>
      <c r="D405" s="2" t="s">
        <v>175</v>
      </c>
      <c r="E405" s="2" t="s">
        <v>14</v>
      </c>
      <c r="F405" s="3">
        <v>1198709.9711999998</v>
      </c>
      <c r="G405" s="3">
        <v>413</v>
      </c>
      <c r="H405" s="3">
        <v>930</v>
      </c>
      <c r="I405" s="3" t="s">
        <v>257</v>
      </c>
      <c r="J405" s="18">
        <v>1847</v>
      </c>
      <c r="K405" s="18">
        <v>1</v>
      </c>
    </row>
    <row r="406" spans="1:11" ht="25.8" x14ac:dyDescent="0.5">
      <c r="A406" s="2">
        <v>2022</v>
      </c>
      <c r="B406" s="2" t="s">
        <v>23</v>
      </c>
      <c r="C406" s="2" t="s">
        <v>9</v>
      </c>
      <c r="D406" s="2" t="s">
        <v>13</v>
      </c>
      <c r="E406" s="2" t="s">
        <v>35</v>
      </c>
      <c r="F406" s="3">
        <v>117088.16</v>
      </c>
      <c r="G406" s="3">
        <v>784</v>
      </c>
      <c r="H406" s="3">
        <v>540</v>
      </c>
      <c r="I406" s="3" t="s">
        <v>258</v>
      </c>
      <c r="J406" s="18">
        <v>630</v>
      </c>
      <c r="K406" s="18">
        <v>1</v>
      </c>
    </row>
    <row r="407" spans="1:11" ht="25.8" x14ac:dyDescent="0.5">
      <c r="A407" s="2">
        <v>2022</v>
      </c>
      <c r="B407" s="2" t="s">
        <v>50</v>
      </c>
      <c r="C407" s="2" t="s">
        <v>9</v>
      </c>
      <c r="D407" s="2" t="s">
        <v>190</v>
      </c>
      <c r="E407" s="2" t="s">
        <v>20</v>
      </c>
      <c r="F407" s="3">
        <v>117088.16</v>
      </c>
      <c r="G407" s="3">
        <v>795</v>
      </c>
      <c r="H407" s="3">
        <v>469</v>
      </c>
      <c r="I407" s="3" t="s">
        <v>259</v>
      </c>
      <c r="J407" s="18">
        <v>775</v>
      </c>
      <c r="K407" s="18">
        <v>1</v>
      </c>
    </row>
    <row r="408" spans="1:11" ht="25.8" x14ac:dyDescent="0.5">
      <c r="A408" s="2">
        <v>2022</v>
      </c>
      <c r="B408" s="2" t="s">
        <v>54</v>
      </c>
      <c r="C408" s="2" t="s">
        <v>9</v>
      </c>
      <c r="D408" s="2" t="s">
        <v>19</v>
      </c>
      <c r="E408" s="2" t="s">
        <v>17</v>
      </c>
      <c r="F408" s="3">
        <v>129596.32</v>
      </c>
      <c r="G408" s="3">
        <v>930</v>
      </c>
      <c r="H408" s="3">
        <v>563</v>
      </c>
      <c r="I408" s="3" t="s">
        <v>260</v>
      </c>
      <c r="J408" s="18">
        <v>806</v>
      </c>
      <c r="K408" s="18">
        <v>1</v>
      </c>
    </row>
    <row r="409" spans="1:11" ht="25.8" x14ac:dyDescent="0.5">
      <c r="A409" s="2">
        <v>2022</v>
      </c>
      <c r="B409" s="2" t="s">
        <v>23</v>
      </c>
      <c r="C409" s="2" t="s">
        <v>228</v>
      </c>
      <c r="D409" s="2" t="s">
        <v>21</v>
      </c>
      <c r="E409" s="2" t="s">
        <v>17</v>
      </c>
      <c r="F409" s="3">
        <v>138432</v>
      </c>
      <c r="G409" s="3">
        <v>312</v>
      </c>
      <c r="H409" s="3">
        <v>983</v>
      </c>
      <c r="I409" s="3" t="s">
        <v>261</v>
      </c>
      <c r="J409" s="18">
        <v>1645</v>
      </c>
      <c r="K409" s="18">
        <v>1</v>
      </c>
    </row>
    <row r="410" spans="1:11" ht="25.8" x14ac:dyDescent="0.5">
      <c r="A410" s="2">
        <v>2022</v>
      </c>
      <c r="B410" s="2" t="s">
        <v>54</v>
      </c>
      <c r="C410" s="2" t="s">
        <v>9</v>
      </c>
      <c r="D410" s="2" t="s">
        <v>28</v>
      </c>
      <c r="E410" s="2" t="s">
        <v>26</v>
      </c>
      <c r="F410" s="3">
        <v>148080.79999999999</v>
      </c>
      <c r="G410" s="3">
        <v>839</v>
      </c>
      <c r="H410" s="3">
        <v>334</v>
      </c>
      <c r="I410" s="3" t="s">
        <v>250</v>
      </c>
      <c r="J410" s="18">
        <v>800</v>
      </c>
      <c r="K410" s="18">
        <v>1</v>
      </c>
    </row>
    <row r="411" spans="1:11" ht="25.8" x14ac:dyDescent="0.5">
      <c r="A411" s="2">
        <v>2022</v>
      </c>
      <c r="B411" s="2" t="s">
        <v>27</v>
      </c>
      <c r="C411" s="2" t="s">
        <v>9</v>
      </c>
      <c r="D411" s="2" t="s">
        <v>30</v>
      </c>
      <c r="E411" s="2" t="s">
        <v>22</v>
      </c>
      <c r="F411" s="3">
        <v>151026.4</v>
      </c>
      <c r="G411" s="3">
        <v>568</v>
      </c>
      <c r="H411" s="3">
        <v>505</v>
      </c>
      <c r="I411" s="3" t="s">
        <v>251</v>
      </c>
      <c r="J411" s="18">
        <v>871</v>
      </c>
      <c r="K411" s="18">
        <v>1</v>
      </c>
    </row>
    <row r="412" spans="1:11" ht="25.8" x14ac:dyDescent="0.5">
      <c r="A412" s="2">
        <v>2022</v>
      </c>
      <c r="B412" s="2" t="s">
        <v>50</v>
      </c>
      <c r="C412" s="2" t="s">
        <v>229</v>
      </c>
      <c r="D412" s="2" t="s">
        <v>31</v>
      </c>
      <c r="E412" s="2" t="s">
        <v>26</v>
      </c>
      <c r="F412" s="3">
        <v>161066.07999999999</v>
      </c>
      <c r="G412" s="3">
        <v>210</v>
      </c>
      <c r="H412" s="3">
        <v>177</v>
      </c>
      <c r="I412" s="3" t="s">
        <v>252</v>
      </c>
      <c r="J412" s="18">
        <v>414</v>
      </c>
      <c r="K412" s="18">
        <v>1</v>
      </c>
    </row>
    <row r="413" spans="1:11" ht="25.8" x14ac:dyDescent="0.5">
      <c r="A413" s="2">
        <v>2022</v>
      </c>
      <c r="B413" s="2" t="s">
        <v>27</v>
      </c>
      <c r="C413" s="2" t="s">
        <v>9</v>
      </c>
      <c r="D413" s="2" t="s">
        <v>32</v>
      </c>
      <c r="E413" s="2" t="s">
        <v>22</v>
      </c>
      <c r="F413" s="3">
        <v>164317.44</v>
      </c>
      <c r="G413" s="3">
        <v>568</v>
      </c>
      <c r="H413" s="3">
        <v>505</v>
      </c>
      <c r="I413" s="3" t="s">
        <v>253</v>
      </c>
      <c r="J413" s="18">
        <v>924</v>
      </c>
      <c r="K413" s="18">
        <v>1</v>
      </c>
    </row>
    <row r="414" spans="1:11" ht="25.8" x14ac:dyDescent="0.5">
      <c r="A414" s="2">
        <v>2022</v>
      </c>
      <c r="B414" s="2" t="s">
        <v>8</v>
      </c>
      <c r="C414" s="2" t="s">
        <v>230</v>
      </c>
      <c r="D414" s="2" t="s">
        <v>172</v>
      </c>
      <c r="E414" s="2" t="s">
        <v>14</v>
      </c>
      <c r="F414" s="3">
        <v>164317.44</v>
      </c>
      <c r="G414" s="3">
        <v>839</v>
      </c>
      <c r="H414" s="3">
        <v>983</v>
      </c>
      <c r="I414" s="3" t="s">
        <v>254</v>
      </c>
      <c r="J414" s="18">
        <v>1759</v>
      </c>
      <c r="K414" s="18">
        <v>1</v>
      </c>
    </row>
    <row r="415" spans="1:11" ht="25.8" x14ac:dyDescent="0.5">
      <c r="A415" s="2">
        <v>2022</v>
      </c>
      <c r="B415" s="2" t="s">
        <v>18</v>
      </c>
      <c r="C415" s="2" t="s">
        <v>9</v>
      </c>
      <c r="D415" s="2" t="s">
        <v>33</v>
      </c>
      <c r="E415" s="2" t="s">
        <v>14</v>
      </c>
      <c r="F415" s="3">
        <v>166970.72</v>
      </c>
      <c r="G415" s="3">
        <v>577</v>
      </c>
      <c r="H415" s="3">
        <v>175</v>
      </c>
      <c r="I415" s="3" t="s">
        <v>255</v>
      </c>
      <c r="J415" s="18">
        <v>340</v>
      </c>
      <c r="K415" s="18">
        <v>1</v>
      </c>
    </row>
    <row r="416" spans="1:11" ht="25.8" x14ac:dyDescent="0.5">
      <c r="A416" s="2">
        <v>2022</v>
      </c>
      <c r="B416" s="2" t="s">
        <v>50</v>
      </c>
      <c r="C416" s="2" t="s">
        <v>9</v>
      </c>
      <c r="D416" s="2" t="s">
        <v>34</v>
      </c>
      <c r="E416" s="2" t="s">
        <v>26</v>
      </c>
      <c r="F416" s="3">
        <v>167547.51999999999</v>
      </c>
      <c r="G416" s="3">
        <v>413</v>
      </c>
      <c r="H416" s="3">
        <v>930</v>
      </c>
      <c r="I416" s="3" t="s">
        <v>256</v>
      </c>
      <c r="J416" s="18">
        <v>1153</v>
      </c>
      <c r="K416" s="18">
        <v>1</v>
      </c>
    </row>
    <row r="417" spans="1:11" ht="25.8" x14ac:dyDescent="0.5">
      <c r="A417" s="2">
        <v>2022</v>
      </c>
      <c r="B417" s="2" t="s">
        <v>50</v>
      </c>
      <c r="C417" s="2" t="s">
        <v>9</v>
      </c>
      <c r="D417" s="2" t="s">
        <v>36</v>
      </c>
      <c r="E417" s="2" t="s">
        <v>14</v>
      </c>
      <c r="F417" s="3">
        <v>170051.84</v>
      </c>
      <c r="G417" s="3">
        <v>413</v>
      </c>
      <c r="H417" s="3">
        <v>930</v>
      </c>
      <c r="I417" s="3" t="s">
        <v>257</v>
      </c>
      <c r="J417" s="18">
        <v>1137</v>
      </c>
      <c r="K417" s="18">
        <v>1</v>
      </c>
    </row>
    <row r="418" spans="1:11" ht="25.8" x14ac:dyDescent="0.5">
      <c r="A418" s="2">
        <v>2022</v>
      </c>
      <c r="B418" s="2" t="s">
        <v>12</v>
      </c>
      <c r="C418" s="2" t="s">
        <v>9</v>
      </c>
      <c r="D418" s="2" t="s">
        <v>37</v>
      </c>
      <c r="E418" s="2" t="s">
        <v>26</v>
      </c>
      <c r="F418" s="3">
        <v>170291.52</v>
      </c>
      <c r="G418" s="3">
        <v>312</v>
      </c>
      <c r="H418" s="3">
        <v>983</v>
      </c>
      <c r="I418" s="3" t="s">
        <v>258</v>
      </c>
      <c r="J418" s="18">
        <v>1609</v>
      </c>
      <c r="K418" s="18">
        <v>1</v>
      </c>
    </row>
    <row r="419" spans="1:11" ht="25.8" x14ac:dyDescent="0.5">
      <c r="A419" s="2">
        <v>2022</v>
      </c>
      <c r="B419" s="2" t="s">
        <v>8</v>
      </c>
      <c r="C419" s="2" t="s">
        <v>9</v>
      </c>
      <c r="D419" s="2" t="s">
        <v>116</v>
      </c>
      <c r="E419" s="2" t="s">
        <v>22</v>
      </c>
      <c r="F419" s="3">
        <v>181082.72</v>
      </c>
      <c r="G419" s="3">
        <v>93</v>
      </c>
      <c r="H419" s="3">
        <v>852</v>
      </c>
      <c r="I419" s="3" t="s">
        <v>259</v>
      </c>
      <c r="J419" s="18">
        <v>1656</v>
      </c>
      <c r="K419" s="18">
        <v>1</v>
      </c>
    </row>
    <row r="420" spans="1:11" ht="25.8" x14ac:dyDescent="0.5">
      <c r="A420" s="2">
        <v>2022</v>
      </c>
      <c r="B420" s="2" t="s">
        <v>59</v>
      </c>
      <c r="C420" s="2" t="s">
        <v>9</v>
      </c>
      <c r="D420" s="2" t="s">
        <v>39</v>
      </c>
      <c r="E420" s="2" t="s">
        <v>20</v>
      </c>
      <c r="F420" s="3">
        <v>181082.72</v>
      </c>
      <c r="G420" s="3">
        <v>692</v>
      </c>
      <c r="H420" s="3">
        <v>300</v>
      </c>
      <c r="I420" s="3" t="s">
        <v>260</v>
      </c>
      <c r="J420" s="18">
        <v>467</v>
      </c>
      <c r="K420" s="18">
        <v>1</v>
      </c>
    </row>
    <row r="421" spans="1:11" ht="25.8" x14ac:dyDescent="0.5">
      <c r="A421" s="2">
        <v>2022</v>
      </c>
      <c r="B421" s="2" t="s">
        <v>23</v>
      </c>
      <c r="C421" s="2" t="s">
        <v>9</v>
      </c>
      <c r="D421" s="2" t="s">
        <v>222</v>
      </c>
      <c r="E421" s="2" t="s">
        <v>20</v>
      </c>
      <c r="F421" s="3">
        <v>185506.72</v>
      </c>
      <c r="G421" s="3">
        <v>413</v>
      </c>
      <c r="H421" s="3">
        <v>930</v>
      </c>
      <c r="I421" s="3" t="s">
        <v>261</v>
      </c>
      <c r="J421" s="18">
        <v>1093</v>
      </c>
      <c r="K421" s="18">
        <v>1</v>
      </c>
    </row>
    <row r="422" spans="1:11" ht="25.8" x14ac:dyDescent="0.5">
      <c r="A422" s="2">
        <v>2022</v>
      </c>
      <c r="B422" s="2" t="s">
        <v>12</v>
      </c>
      <c r="C422" s="2" t="s">
        <v>9</v>
      </c>
      <c r="D422" s="2" t="s">
        <v>102</v>
      </c>
      <c r="E422" s="2" t="s">
        <v>66</v>
      </c>
      <c r="F422" s="3">
        <v>185506.72</v>
      </c>
      <c r="G422" s="3">
        <v>692</v>
      </c>
      <c r="H422" s="3">
        <v>300</v>
      </c>
      <c r="I422" s="3" t="s">
        <v>250</v>
      </c>
      <c r="J422" s="18">
        <v>645</v>
      </c>
      <c r="K422" s="18">
        <v>1</v>
      </c>
    </row>
    <row r="423" spans="1:11" ht="25.8" x14ac:dyDescent="0.5">
      <c r="A423" s="2">
        <v>2022</v>
      </c>
      <c r="B423" s="2" t="s">
        <v>27</v>
      </c>
      <c r="C423" s="2" t="s">
        <v>9</v>
      </c>
      <c r="D423" s="2" t="s">
        <v>134</v>
      </c>
      <c r="E423" s="2" t="s">
        <v>66</v>
      </c>
      <c r="F423" s="3">
        <v>185506.72</v>
      </c>
      <c r="G423" s="3">
        <v>839</v>
      </c>
      <c r="H423" s="3">
        <v>983</v>
      </c>
      <c r="I423" s="3" t="s">
        <v>251</v>
      </c>
      <c r="J423" s="18">
        <v>1664</v>
      </c>
      <c r="K423" s="18">
        <v>1</v>
      </c>
    </row>
    <row r="424" spans="1:11" ht="25.8" x14ac:dyDescent="0.5">
      <c r="A424" s="2">
        <v>2022</v>
      </c>
      <c r="B424" s="2" t="s">
        <v>29</v>
      </c>
      <c r="C424" s="2" t="s">
        <v>231</v>
      </c>
      <c r="D424" s="2" t="s">
        <v>104</v>
      </c>
      <c r="E424" s="2" t="s">
        <v>66</v>
      </c>
      <c r="F424" s="3">
        <v>185506.72</v>
      </c>
      <c r="G424" s="3">
        <v>930</v>
      </c>
      <c r="H424" s="3">
        <v>563</v>
      </c>
      <c r="I424" s="3" t="s">
        <v>252</v>
      </c>
      <c r="J424" s="18">
        <v>775</v>
      </c>
      <c r="K424" s="18">
        <v>1</v>
      </c>
    </row>
    <row r="425" spans="1:11" ht="25.8" x14ac:dyDescent="0.5">
      <c r="A425" s="2">
        <v>2022</v>
      </c>
      <c r="B425" s="2" t="s">
        <v>12</v>
      </c>
      <c r="C425" s="2" t="s">
        <v>9</v>
      </c>
      <c r="D425" s="2" t="s">
        <v>51</v>
      </c>
      <c r="E425" s="2" t="s">
        <v>66</v>
      </c>
      <c r="F425" s="3">
        <v>185506.72</v>
      </c>
      <c r="G425" s="3">
        <v>692</v>
      </c>
      <c r="H425" s="3">
        <v>300</v>
      </c>
      <c r="I425" s="3" t="s">
        <v>253</v>
      </c>
      <c r="J425" s="18">
        <v>345</v>
      </c>
      <c r="K425" s="18">
        <v>1</v>
      </c>
    </row>
    <row r="426" spans="1:11" ht="25.8" x14ac:dyDescent="0.5">
      <c r="A426" s="2">
        <v>2022</v>
      </c>
      <c r="B426" s="2" t="s">
        <v>12</v>
      </c>
      <c r="C426" s="2" t="s">
        <v>9</v>
      </c>
      <c r="D426" s="2" t="s">
        <v>123</v>
      </c>
      <c r="E426" s="2" t="s">
        <v>66</v>
      </c>
      <c r="F426" s="3">
        <v>185506.72</v>
      </c>
      <c r="G426" s="3">
        <v>413</v>
      </c>
      <c r="H426" s="3">
        <v>930</v>
      </c>
      <c r="I426" s="3" t="s">
        <v>254</v>
      </c>
      <c r="J426" s="18">
        <v>1072</v>
      </c>
      <c r="K426" s="18">
        <v>1</v>
      </c>
    </row>
    <row r="427" spans="1:11" ht="25.8" x14ac:dyDescent="0.5">
      <c r="A427" s="2">
        <v>2022</v>
      </c>
      <c r="B427" s="2" t="s">
        <v>12</v>
      </c>
      <c r="C427" s="2" t="s">
        <v>9</v>
      </c>
      <c r="D427" s="2" t="s">
        <v>120</v>
      </c>
      <c r="E427" s="2" t="s">
        <v>66</v>
      </c>
      <c r="F427" s="3">
        <v>185506.72</v>
      </c>
      <c r="G427" s="3">
        <v>872</v>
      </c>
      <c r="H427" s="3">
        <v>249</v>
      </c>
      <c r="I427" s="3" t="s">
        <v>255</v>
      </c>
      <c r="J427" s="18">
        <v>622</v>
      </c>
      <c r="K427" s="18">
        <v>1</v>
      </c>
    </row>
    <row r="428" spans="1:11" ht="25.8" x14ac:dyDescent="0.5">
      <c r="A428" s="2">
        <v>2022</v>
      </c>
      <c r="B428" s="2" t="s">
        <v>29</v>
      </c>
      <c r="C428" s="2" t="s">
        <v>231</v>
      </c>
      <c r="D428" s="2" t="s">
        <v>108</v>
      </c>
      <c r="E428" s="2" t="s">
        <v>66</v>
      </c>
      <c r="F428" s="3">
        <v>185506.72</v>
      </c>
      <c r="G428" s="3">
        <v>930</v>
      </c>
      <c r="H428" s="3">
        <v>563</v>
      </c>
      <c r="I428" s="3" t="s">
        <v>256</v>
      </c>
      <c r="J428" s="18">
        <v>1071</v>
      </c>
      <c r="K428" s="18">
        <v>1</v>
      </c>
    </row>
    <row r="429" spans="1:11" ht="25.8" x14ac:dyDescent="0.5">
      <c r="A429" s="2">
        <v>2022</v>
      </c>
      <c r="B429" s="2" t="s">
        <v>12</v>
      </c>
      <c r="C429" s="2" t="s">
        <v>9</v>
      </c>
      <c r="D429" s="2" t="s">
        <v>69</v>
      </c>
      <c r="E429" s="2" t="s">
        <v>66</v>
      </c>
      <c r="F429" s="3">
        <v>185506.72</v>
      </c>
      <c r="G429" s="3">
        <v>413</v>
      </c>
      <c r="H429" s="3">
        <v>930</v>
      </c>
      <c r="I429" s="3" t="s">
        <v>257</v>
      </c>
      <c r="J429" s="18">
        <v>1895</v>
      </c>
      <c r="K429" s="18">
        <v>1</v>
      </c>
    </row>
    <row r="430" spans="1:11" ht="25.8" x14ac:dyDescent="0.5">
      <c r="A430" s="2">
        <v>2022</v>
      </c>
      <c r="B430" s="2" t="s">
        <v>29</v>
      </c>
      <c r="C430" s="2" t="s">
        <v>231</v>
      </c>
      <c r="D430" s="2" t="s">
        <v>179</v>
      </c>
      <c r="E430" s="2" t="s">
        <v>66</v>
      </c>
      <c r="F430" s="3">
        <v>185506.72</v>
      </c>
      <c r="G430" s="3">
        <v>930</v>
      </c>
      <c r="H430" s="3">
        <v>563</v>
      </c>
      <c r="I430" s="3" t="s">
        <v>258</v>
      </c>
      <c r="J430" s="18">
        <v>1102</v>
      </c>
      <c r="K430" s="18">
        <v>1</v>
      </c>
    </row>
    <row r="431" spans="1:11" ht="25.8" x14ac:dyDescent="0.5">
      <c r="A431" s="2">
        <v>2022</v>
      </c>
      <c r="B431" s="2" t="s">
        <v>12</v>
      </c>
      <c r="C431" s="2" t="s">
        <v>9</v>
      </c>
      <c r="D431" s="2" t="s">
        <v>40</v>
      </c>
      <c r="E431" s="2" t="s">
        <v>66</v>
      </c>
      <c r="F431" s="3">
        <v>185506.72</v>
      </c>
      <c r="G431" s="3">
        <v>287</v>
      </c>
      <c r="H431" s="3">
        <v>744</v>
      </c>
      <c r="I431" s="3" t="s">
        <v>259</v>
      </c>
      <c r="J431" s="18">
        <v>1527</v>
      </c>
      <c r="K431" s="18">
        <v>1</v>
      </c>
    </row>
    <row r="432" spans="1:11" ht="25.8" x14ac:dyDescent="0.5">
      <c r="A432" s="2">
        <v>2022</v>
      </c>
      <c r="B432" s="2" t="s">
        <v>54</v>
      </c>
      <c r="C432" s="2" t="s">
        <v>9</v>
      </c>
      <c r="D432" s="2" t="s">
        <v>41</v>
      </c>
      <c r="E432" s="2" t="s">
        <v>17</v>
      </c>
      <c r="F432" s="3">
        <v>185514.56</v>
      </c>
      <c r="G432" s="3">
        <v>749</v>
      </c>
      <c r="H432" s="3">
        <v>648</v>
      </c>
      <c r="I432" s="3" t="s">
        <v>260</v>
      </c>
      <c r="J432" s="18">
        <v>1074</v>
      </c>
      <c r="K432" s="18">
        <v>1</v>
      </c>
    </row>
    <row r="433" spans="1:11" ht="25.8" x14ac:dyDescent="0.5">
      <c r="A433" s="2">
        <v>2022</v>
      </c>
      <c r="B433" s="2" t="s">
        <v>12</v>
      </c>
      <c r="C433" s="2" t="s">
        <v>9</v>
      </c>
      <c r="D433" s="2" t="s">
        <v>42</v>
      </c>
      <c r="E433" s="2" t="s">
        <v>35</v>
      </c>
      <c r="F433" s="3">
        <v>186455.36</v>
      </c>
      <c r="G433" s="3">
        <v>872</v>
      </c>
      <c r="H433" s="3">
        <v>249</v>
      </c>
      <c r="I433" s="3" t="s">
        <v>261</v>
      </c>
      <c r="J433" s="18">
        <v>400</v>
      </c>
      <c r="K433" s="18">
        <v>1</v>
      </c>
    </row>
    <row r="434" spans="1:11" ht="25.8" x14ac:dyDescent="0.5">
      <c r="A434" s="2">
        <v>2022</v>
      </c>
      <c r="B434" s="2" t="s">
        <v>50</v>
      </c>
      <c r="C434" s="2" t="s">
        <v>232</v>
      </c>
      <c r="D434" s="2" t="s">
        <v>44</v>
      </c>
      <c r="E434" s="2" t="s">
        <v>20</v>
      </c>
      <c r="F434" s="3">
        <v>199691.51999999999</v>
      </c>
      <c r="G434" s="3">
        <v>839</v>
      </c>
      <c r="H434" s="3">
        <v>334</v>
      </c>
      <c r="I434" s="3" t="s">
        <v>250</v>
      </c>
      <c r="J434" s="18">
        <v>624</v>
      </c>
      <c r="K434" s="18">
        <v>1</v>
      </c>
    </row>
    <row r="435" spans="1:11" ht="25.8" x14ac:dyDescent="0.5">
      <c r="A435" s="2">
        <v>2022</v>
      </c>
      <c r="B435" s="2" t="s">
        <v>23</v>
      </c>
      <c r="C435" s="2" t="s">
        <v>228</v>
      </c>
      <c r="D435" s="2" t="s">
        <v>45</v>
      </c>
      <c r="E435" s="2" t="s">
        <v>17</v>
      </c>
      <c r="F435" s="3">
        <v>204794.23999999999</v>
      </c>
      <c r="G435" s="3">
        <v>312</v>
      </c>
      <c r="H435" s="3">
        <v>983</v>
      </c>
      <c r="I435" s="3" t="s">
        <v>251</v>
      </c>
      <c r="J435" s="18">
        <v>1356</v>
      </c>
      <c r="K435" s="18">
        <v>1</v>
      </c>
    </row>
    <row r="436" spans="1:11" ht="25.8" x14ac:dyDescent="0.5">
      <c r="A436" s="2">
        <v>2022</v>
      </c>
      <c r="B436" s="2" t="s">
        <v>23</v>
      </c>
      <c r="C436" s="2" t="s">
        <v>9</v>
      </c>
      <c r="D436" s="2" t="s">
        <v>46</v>
      </c>
      <c r="E436" s="2" t="s">
        <v>35</v>
      </c>
      <c r="F436" s="3">
        <v>206253.6</v>
      </c>
      <c r="G436" s="3">
        <v>784</v>
      </c>
      <c r="H436" s="3">
        <v>540</v>
      </c>
      <c r="I436" s="3" t="s">
        <v>252</v>
      </c>
      <c r="J436" s="18">
        <v>734</v>
      </c>
      <c r="K436" s="18">
        <v>1</v>
      </c>
    </row>
    <row r="437" spans="1:11" ht="25.8" x14ac:dyDescent="0.5">
      <c r="A437" s="2">
        <v>2022</v>
      </c>
      <c r="B437" s="2" t="s">
        <v>12</v>
      </c>
      <c r="C437" s="2" t="s">
        <v>9</v>
      </c>
      <c r="D437" s="2" t="s">
        <v>192</v>
      </c>
      <c r="E437" s="2" t="s">
        <v>17</v>
      </c>
      <c r="F437" s="3">
        <v>209059.20000000001</v>
      </c>
      <c r="G437" s="3">
        <v>784</v>
      </c>
      <c r="H437" s="3">
        <v>540</v>
      </c>
      <c r="I437" s="3" t="s">
        <v>253</v>
      </c>
      <c r="J437" s="18">
        <v>1140</v>
      </c>
      <c r="K437" s="18">
        <v>1</v>
      </c>
    </row>
    <row r="438" spans="1:11" ht="25.8" x14ac:dyDescent="0.5">
      <c r="A438" s="2">
        <v>2022</v>
      </c>
      <c r="B438" s="2" t="s">
        <v>18</v>
      </c>
      <c r="C438" s="2" t="s">
        <v>228</v>
      </c>
      <c r="D438" s="2" t="s">
        <v>48</v>
      </c>
      <c r="E438" s="2" t="s">
        <v>35</v>
      </c>
      <c r="F438" s="3">
        <v>210140</v>
      </c>
      <c r="G438" s="3">
        <v>597</v>
      </c>
      <c r="H438" s="3">
        <v>287</v>
      </c>
      <c r="I438" s="3" t="s">
        <v>254</v>
      </c>
      <c r="J438" s="18">
        <v>357</v>
      </c>
      <c r="K438" s="18">
        <v>1</v>
      </c>
    </row>
    <row r="439" spans="1:11" ht="25.8" x14ac:dyDescent="0.5">
      <c r="A439" s="2">
        <v>2022</v>
      </c>
      <c r="B439" s="2" t="s">
        <v>29</v>
      </c>
      <c r="C439" s="2" t="s">
        <v>9</v>
      </c>
      <c r="D439" s="2" t="s">
        <v>49</v>
      </c>
      <c r="E439" s="2" t="s">
        <v>22</v>
      </c>
      <c r="F439" s="3">
        <v>218204</v>
      </c>
      <c r="G439" s="3">
        <v>610</v>
      </c>
      <c r="H439" s="3">
        <v>970</v>
      </c>
      <c r="I439" s="3" t="s">
        <v>255</v>
      </c>
      <c r="J439" s="18">
        <v>1975</v>
      </c>
      <c r="K439" s="18">
        <v>1</v>
      </c>
    </row>
    <row r="440" spans="1:11" ht="25.8" x14ac:dyDescent="0.5">
      <c r="A440" s="2">
        <v>2022</v>
      </c>
      <c r="B440" s="2" t="s">
        <v>54</v>
      </c>
      <c r="C440" s="2" t="s">
        <v>9</v>
      </c>
      <c r="D440" s="2" t="s">
        <v>53</v>
      </c>
      <c r="E440" s="2" t="s">
        <v>35</v>
      </c>
      <c r="F440" s="3">
        <v>225676.64</v>
      </c>
      <c r="G440" s="3">
        <v>597</v>
      </c>
      <c r="H440" s="3">
        <v>287</v>
      </c>
      <c r="I440" s="3" t="s">
        <v>256</v>
      </c>
      <c r="J440" s="18">
        <v>594</v>
      </c>
      <c r="K440" s="18">
        <v>1</v>
      </c>
    </row>
    <row r="441" spans="1:11" ht="25.8" x14ac:dyDescent="0.5">
      <c r="A441" s="2">
        <v>2022</v>
      </c>
      <c r="B441" s="2" t="s">
        <v>15</v>
      </c>
      <c r="C441" s="2" t="s">
        <v>9</v>
      </c>
      <c r="D441" s="2" t="s">
        <v>185</v>
      </c>
      <c r="E441" s="2" t="s">
        <v>20</v>
      </c>
      <c r="F441" s="3">
        <v>226497.6</v>
      </c>
      <c r="G441" s="3">
        <v>795</v>
      </c>
      <c r="H441" s="3">
        <v>469</v>
      </c>
      <c r="I441" s="3" t="s">
        <v>257</v>
      </c>
      <c r="J441" s="18">
        <v>555</v>
      </c>
      <c r="K441" s="18">
        <v>1</v>
      </c>
    </row>
    <row r="442" spans="1:11" ht="25.8" x14ac:dyDescent="0.5">
      <c r="A442" s="2">
        <v>2022</v>
      </c>
      <c r="B442" s="2" t="s">
        <v>54</v>
      </c>
      <c r="C442" s="2" t="s">
        <v>9</v>
      </c>
      <c r="D442" s="2" t="s">
        <v>55</v>
      </c>
      <c r="E442" s="2" t="s">
        <v>17</v>
      </c>
      <c r="F442" s="3">
        <v>230400.8</v>
      </c>
      <c r="G442" s="3">
        <v>839</v>
      </c>
      <c r="H442" s="3">
        <v>983</v>
      </c>
      <c r="I442" s="3" t="s">
        <v>258</v>
      </c>
      <c r="J442" s="18">
        <v>2360</v>
      </c>
      <c r="K442" s="18">
        <v>1</v>
      </c>
    </row>
    <row r="443" spans="1:11" ht="25.8" x14ac:dyDescent="0.5">
      <c r="A443" s="2">
        <v>2022</v>
      </c>
      <c r="B443" s="2" t="s">
        <v>18</v>
      </c>
      <c r="C443" s="2" t="s">
        <v>9</v>
      </c>
      <c r="D443" s="2" t="s">
        <v>56</v>
      </c>
      <c r="E443" s="2" t="s">
        <v>17</v>
      </c>
      <c r="F443" s="3">
        <v>234766.56</v>
      </c>
      <c r="G443" s="3">
        <v>839</v>
      </c>
      <c r="H443" s="3">
        <v>983</v>
      </c>
      <c r="I443" s="3" t="s">
        <v>259</v>
      </c>
      <c r="J443" s="18">
        <v>2122</v>
      </c>
      <c r="K443" s="18">
        <v>1</v>
      </c>
    </row>
    <row r="444" spans="1:11" ht="25.8" x14ac:dyDescent="0.5">
      <c r="A444" s="2">
        <v>2022</v>
      </c>
      <c r="B444" s="2" t="s">
        <v>54</v>
      </c>
      <c r="C444" s="2" t="s">
        <v>233</v>
      </c>
      <c r="D444" s="2" t="s">
        <v>57</v>
      </c>
      <c r="E444" s="2" t="s">
        <v>35</v>
      </c>
      <c r="F444" s="3">
        <v>238955.36</v>
      </c>
      <c r="G444" s="3">
        <v>749</v>
      </c>
      <c r="H444" s="3">
        <v>648</v>
      </c>
      <c r="I444" s="3" t="s">
        <v>260</v>
      </c>
      <c r="J444" s="18">
        <v>891</v>
      </c>
      <c r="K444" s="18">
        <v>1</v>
      </c>
    </row>
    <row r="445" spans="1:11" ht="25.8" x14ac:dyDescent="0.5">
      <c r="A445" s="2">
        <v>2022</v>
      </c>
      <c r="B445" s="2" t="s">
        <v>12</v>
      </c>
      <c r="C445" s="2" t="s">
        <v>9</v>
      </c>
      <c r="D445" s="2" t="s">
        <v>58</v>
      </c>
      <c r="E445" s="2" t="s">
        <v>20</v>
      </c>
      <c r="F445" s="3">
        <v>249211.2</v>
      </c>
      <c r="G445" s="3">
        <v>403</v>
      </c>
      <c r="H445" s="3">
        <v>953</v>
      </c>
      <c r="I445" s="3" t="s">
        <v>261</v>
      </c>
      <c r="J445" s="18">
        <v>1716</v>
      </c>
      <c r="K445" s="18">
        <v>1</v>
      </c>
    </row>
    <row r="446" spans="1:11" ht="25.8" x14ac:dyDescent="0.5">
      <c r="A446" s="2">
        <v>2022</v>
      </c>
      <c r="B446" s="2" t="s">
        <v>23</v>
      </c>
      <c r="C446" s="2" t="s">
        <v>9</v>
      </c>
      <c r="D446" s="2" t="s">
        <v>61</v>
      </c>
      <c r="E446" s="2" t="s">
        <v>35</v>
      </c>
      <c r="F446" s="3">
        <v>255250.24</v>
      </c>
      <c r="G446" s="3">
        <v>784</v>
      </c>
      <c r="H446" s="3">
        <v>540</v>
      </c>
      <c r="I446" s="3" t="s">
        <v>250</v>
      </c>
      <c r="J446" s="18">
        <v>773</v>
      </c>
      <c r="K446" s="18">
        <v>1</v>
      </c>
    </row>
    <row r="447" spans="1:11" ht="25.8" x14ac:dyDescent="0.5">
      <c r="A447" s="2">
        <v>2022</v>
      </c>
      <c r="B447" s="2" t="s">
        <v>27</v>
      </c>
      <c r="C447" s="2" t="s">
        <v>9</v>
      </c>
      <c r="D447" s="2" t="s">
        <v>62</v>
      </c>
      <c r="E447" s="2" t="s">
        <v>20</v>
      </c>
      <c r="F447" s="3">
        <v>263220.15999999997</v>
      </c>
      <c r="G447" s="3">
        <v>784</v>
      </c>
      <c r="H447" s="3">
        <v>540</v>
      </c>
      <c r="I447" s="3" t="s">
        <v>251</v>
      </c>
      <c r="J447" s="18">
        <v>633</v>
      </c>
      <c r="K447" s="18">
        <v>1</v>
      </c>
    </row>
    <row r="448" spans="1:11" ht="25.8" x14ac:dyDescent="0.5">
      <c r="A448" s="2">
        <v>2022</v>
      </c>
      <c r="B448" s="2" t="s">
        <v>8</v>
      </c>
      <c r="C448" s="2" t="s">
        <v>230</v>
      </c>
      <c r="D448" s="2" t="s">
        <v>63</v>
      </c>
      <c r="E448" s="2" t="s">
        <v>14</v>
      </c>
      <c r="F448" s="3">
        <v>266508.48</v>
      </c>
      <c r="G448" s="3">
        <v>839</v>
      </c>
      <c r="H448" s="3">
        <v>983</v>
      </c>
      <c r="I448" s="3" t="s">
        <v>252</v>
      </c>
      <c r="J448" s="18">
        <v>1615</v>
      </c>
      <c r="K448" s="18">
        <v>1</v>
      </c>
    </row>
    <row r="449" spans="1:11" ht="25.8" x14ac:dyDescent="0.5">
      <c r="A449" s="2">
        <v>2022</v>
      </c>
      <c r="B449" s="2" t="s">
        <v>29</v>
      </c>
      <c r="C449" s="2" t="s">
        <v>9</v>
      </c>
      <c r="D449" s="2" t="s">
        <v>64</v>
      </c>
      <c r="E449" s="2" t="s">
        <v>22</v>
      </c>
      <c r="F449" s="3">
        <v>268141.44</v>
      </c>
      <c r="G449" s="3">
        <v>610</v>
      </c>
      <c r="H449" s="3">
        <v>970</v>
      </c>
      <c r="I449" s="3" t="s">
        <v>253</v>
      </c>
      <c r="J449" s="18">
        <v>2135</v>
      </c>
      <c r="K449" s="18">
        <v>1</v>
      </c>
    </row>
    <row r="450" spans="1:11" ht="25.8" x14ac:dyDescent="0.5">
      <c r="A450" s="2">
        <v>2022</v>
      </c>
      <c r="B450" s="2" t="s">
        <v>29</v>
      </c>
      <c r="C450" s="2" t="s">
        <v>9</v>
      </c>
      <c r="D450" s="2" t="s">
        <v>65</v>
      </c>
      <c r="E450" s="2" t="s">
        <v>38</v>
      </c>
      <c r="F450" s="3">
        <v>275319.52</v>
      </c>
      <c r="G450" s="3">
        <v>692</v>
      </c>
      <c r="H450" s="3">
        <v>300</v>
      </c>
      <c r="I450" s="3" t="s">
        <v>254</v>
      </c>
      <c r="J450" s="18">
        <v>571</v>
      </c>
      <c r="K450" s="18">
        <v>1</v>
      </c>
    </row>
    <row r="451" spans="1:11" ht="25.8" x14ac:dyDescent="0.5">
      <c r="A451" s="2">
        <v>2022</v>
      </c>
      <c r="B451" s="2" t="s">
        <v>50</v>
      </c>
      <c r="C451" s="2" t="s">
        <v>229</v>
      </c>
      <c r="D451" s="2" t="s">
        <v>67</v>
      </c>
      <c r="E451" s="2" t="s">
        <v>26</v>
      </c>
      <c r="F451" s="3">
        <v>275480.8</v>
      </c>
      <c r="G451" s="3">
        <v>210</v>
      </c>
      <c r="H451" s="3">
        <v>177</v>
      </c>
      <c r="I451" s="3" t="s">
        <v>255</v>
      </c>
      <c r="J451" s="18">
        <v>376</v>
      </c>
      <c r="K451" s="18">
        <v>1</v>
      </c>
    </row>
    <row r="452" spans="1:11" ht="25.8" x14ac:dyDescent="0.5">
      <c r="A452" s="2">
        <v>2022</v>
      </c>
      <c r="B452" s="2" t="s">
        <v>50</v>
      </c>
      <c r="C452" s="2" t="s">
        <v>232</v>
      </c>
      <c r="D452" s="2" t="s">
        <v>68</v>
      </c>
      <c r="E452" s="2" t="s">
        <v>20</v>
      </c>
      <c r="F452" s="3">
        <v>275794.40000000002</v>
      </c>
      <c r="G452" s="3">
        <v>839</v>
      </c>
      <c r="H452" s="3">
        <v>334</v>
      </c>
      <c r="I452" s="3" t="s">
        <v>256</v>
      </c>
      <c r="J452" s="18">
        <v>711</v>
      </c>
      <c r="K452" s="18">
        <v>1</v>
      </c>
    </row>
    <row r="453" spans="1:11" ht="25.8" x14ac:dyDescent="0.5">
      <c r="A453" s="2">
        <v>2022</v>
      </c>
      <c r="B453" s="2" t="s">
        <v>12</v>
      </c>
      <c r="C453" s="2" t="s">
        <v>9</v>
      </c>
      <c r="D453" s="2" t="s">
        <v>71</v>
      </c>
      <c r="E453" s="2" t="s">
        <v>35</v>
      </c>
      <c r="F453" s="3">
        <v>304622.08000000002</v>
      </c>
      <c r="G453" s="3">
        <v>872</v>
      </c>
      <c r="H453" s="3">
        <v>249</v>
      </c>
      <c r="I453" s="3" t="s">
        <v>257</v>
      </c>
      <c r="J453" s="18">
        <v>548</v>
      </c>
      <c r="K453" s="18">
        <v>1</v>
      </c>
    </row>
    <row r="454" spans="1:11" ht="25.8" x14ac:dyDescent="0.5">
      <c r="A454" s="2">
        <v>2022</v>
      </c>
      <c r="B454" s="2" t="s">
        <v>59</v>
      </c>
      <c r="C454" s="2" t="s">
        <v>9</v>
      </c>
      <c r="D454" s="2" t="s">
        <v>84</v>
      </c>
      <c r="E454" s="2" t="s">
        <v>14</v>
      </c>
      <c r="F454" s="3">
        <v>304622.08000000002</v>
      </c>
      <c r="G454" s="3">
        <v>930</v>
      </c>
      <c r="H454" s="3">
        <v>563</v>
      </c>
      <c r="I454" s="3" t="s">
        <v>258</v>
      </c>
      <c r="J454" s="18">
        <v>662</v>
      </c>
      <c r="K454" s="18">
        <v>1</v>
      </c>
    </row>
    <row r="455" spans="1:11" ht="25.8" x14ac:dyDescent="0.5">
      <c r="A455" s="2">
        <v>2022</v>
      </c>
      <c r="B455" s="2" t="s">
        <v>59</v>
      </c>
      <c r="C455" s="2" t="s">
        <v>9</v>
      </c>
      <c r="D455" s="2" t="s">
        <v>193</v>
      </c>
      <c r="E455" s="2" t="s">
        <v>35</v>
      </c>
      <c r="F455" s="3">
        <v>306653.76</v>
      </c>
      <c r="G455" s="3">
        <v>692</v>
      </c>
      <c r="H455" s="3">
        <v>300</v>
      </c>
      <c r="I455" s="3" t="s">
        <v>259</v>
      </c>
      <c r="J455" s="18">
        <v>401</v>
      </c>
      <c r="K455" s="18">
        <v>1</v>
      </c>
    </row>
    <row r="456" spans="1:11" ht="25.8" x14ac:dyDescent="0.5">
      <c r="A456" s="2">
        <v>2022</v>
      </c>
      <c r="B456" s="2" t="s">
        <v>50</v>
      </c>
      <c r="C456" s="2" t="s">
        <v>9</v>
      </c>
      <c r="D456" s="2" t="s">
        <v>216</v>
      </c>
      <c r="E456" s="2" t="s">
        <v>38</v>
      </c>
      <c r="F456" s="3">
        <v>306653.76</v>
      </c>
      <c r="G456" s="3">
        <v>403</v>
      </c>
      <c r="H456" s="3">
        <v>953</v>
      </c>
      <c r="I456" s="3" t="s">
        <v>260</v>
      </c>
      <c r="J456" s="18">
        <v>1794</v>
      </c>
      <c r="K456" s="18">
        <v>1</v>
      </c>
    </row>
    <row r="457" spans="1:11" ht="25.8" x14ac:dyDescent="0.5">
      <c r="A457" s="2">
        <v>2022</v>
      </c>
      <c r="B457" s="2" t="s">
        <v>29</v>
      </c>
      <c r="C457" s="2" t="s">
        <v>9</v>
      </c>
      <c r="D457" s="2" t="s">
        <v>74</v>
      </c>
      <c r="E457" s="2" t="s">
        <v>22</v>
      </c>
      <c r="F457" s="3">
        <v>320014.24</v>
      </c>
      <c r="G457" s="3">
        <v>610</v>
      </c>
      <c r="H457" s="3">
        <v>970</v>
      </c>
      <c r="I457" s="3" t="s">
        <v>261</v>
      </c>
      <c r="J457" s="18">
        <v>1973</v>
      </c>
      <c r="K457" s="18">
        <v>1</v>
      </c>
    </row>
    <row r="458" spans="1:11" ht="25.8" x14ac:dyDescent="0.5">
      <c r="A458" s="2">
        <v>2022</v>
      </c>
      <c r="B458" s="2" t="s">
        <v>50</v>
      </c>
      <c r="C458" s="2" t="s">
        <v>9</v>
      </c>
      <c r="D458" s="2" t="s">
        <v>77</v>
      </c>
      <c r="E458" s="2" t="s">
        <v>14</v>
      </c>
      <c r="F458" s="3">
        <v>349305.59999999998</v>
      </c>
      <c r="G458" s="3">
        <v>413</v>
      </c>
      <c r="H458" s="3">
        <v>930</v>
      </c>
      <c r="I458" s="3" t="s">
        <v>250</v>
      </c>
      <c r="J458" s="18">
        <v>1272</v>
      </c>
      <c r="K458" s="18">
        <v>1</v>
      </c>
    </row>
    <row r="459" spans="1:11" ht="25.8" x14ac:dyDescent="0.5">
      <c r="A459" s="2">
        <v>2022</v>
      </c>
      <c r="B459" s="2" t="s">
        <v>15</v>
      </c>
      <c r="C459" s="2" t="s">
        <v>9</v>
      </c>
      <c r="D459" s="2" t="s">
        <v>10</v>
      </c>
      <c r="E459" s="2" t="s">
        <v>20</v>
      </c>
      <c r="F459" s="3">
        <v>349305.59999999998</v>
      </c>
      <c r="G459" s="3">
        <v>784</v>
      </c>
      <c r="H459" s="3">
        <v>540</v>
      </c>
      <c r="I459" s="3" t="s">
        <v>251</v>
      </c>
      <c r="J459" s="18">
        <v>1242</v>
      </c>
      <c r="K459" s="18">
        <v>1</v>
      </c>
    </row>
    <row r="460" spans="1:11" ht="25.8" x14ac:dyDescent="0.5">
      <c r="A460" s="2">
        <v>2022</v>
      </c>
      <c r="B460" s="2" t="s">
        <v>27</v>
      </c>
      <c r="C460" s="2" t="s">
        <v>9</v>
      </c>
      <c r="D460" s="2" t="s">
        <v>78</v>
      </c>
      <c r="E460" s="2" t="s">
        <v>22</v>
      </c>
      <c r="F460" s="3">
        <v>352427.04</v>
      </c>
      <c r="G460" s="3">
        <v>568</v>
      </c>
      <c r="H460" s="3">
        <v>505</v>
      </c>
      <c r="I460" s="3" t="s">
        <v>252</v>
      </c>
      <c r="J460" s="18">
        <v>1224</v>
      </c>
      <c r="K460" s="18">
        <v>1</v>
      </c>
    </row>
    <row r="461" spans="1:11" ht="25.8" x14ac:dyDescent="0.5">
      <c r="A461" s="2">
        <v>2022</v>
      </c>
      <c r="B461" s="2" t="s">
        <v>50</v>
      </c>
      <c r="C461" s="2" t="s">
        <v>9</v>
      </c>
      <c r="D461" s="2" t="s">
        <v>79</v>
      </c>
      <c r="E461" s="2" t="s">
        <v>14</v>
      </c>
      <c r="F461" s="3">
        <v>356908.16</v>
      </c>
      <c r="G461" s="3">
        <v>413</v>
      </c>
      <c r="H461" s="3">
        <v>930</v>
      </c>
      <c r="I461" s="3" t="s">
        <v>253</v>
      </c>
      <c r="J461" s="18">
        <v>2216</v>
      </c>
      <c r="K461" s="18">
        <v>1</v>
      </c>
    </row>
    <row r="462" spans="1:11" ht="25.8" x14ac:dyDescent="0.5">
      <c r="A462" s="2">
        <v>2022</v>
      </c>
      <c r="B462" s="2" t="s">
        <v>8</v>
      </c>
      <c r="C462" s="2" t="s">
        <v>9</v>
      </c>
      <c r="D462" s="2" t="s">
        <v>80</v>
      </c>
      <c r="E462" s="2" t="s">
        <v>22</v>
      </c>
      <c r="F462" s="3">
        <v>366458.4</v>
      </c>
      <c r="G462" s="3">
        <v>287</v>
      </c>
      <c r="H462" s="3">
        <v>744</v>
      </c>
      <c r="I462" s="3" t="s">
        <v>254</v>
      </c>
      <c r="J462" s="18">
        <v>1382</v>
      </c>
      <c r="K462" s="18">
        <v>1</v>
      </c>
    </row>
    <row r="463" spans="1:11" ht="25.8" x14ac:dyDescent="0.5">
      <c r="A463" s="2">
        <v>2022</v>
      </c>
      <c r="B463" s="2" t="s">
        <v>59</v>
      </c>
      <c r="C463" s="2" t="s">
        <v>9</v>
      </c>
      <c r="D463" s="2" t="s">
        <v>81</v>
      </c>
      <c r="E463" s="2" t="s">
        <v>14</v>
      </c>
      <c r="F463" s="3">
        <v>367728.48</v>
      </c>
      <c r="G463" s="3">
        <v>930</v>
      </c>
      <c r="H463" s="3">
        <v>563</v>
      </c>
      <c r="I463" s="3" t="s">
        <v>255</v>
      </c>
      <c r="J463" s="18">
        <v>1090</v>
      </c>
      <c r="K463" s="18">
        <v>1</v>
      </c>
    </row>
    <row r="464" spans="1:11" ht="25.8" x14ac:dyDescent="0.5">
      <c r="A464" s="2">
        <v>2022</v>
      </c>
      <c r="B464" s="2" t="s">
        <v>59</v>
      </c>
      <c r="C464" s="2" t="s">
        <v>9</v>
      </c>
      <c r="D464" s="2" t="s">
        <v>187</v>
      </c>
      <c r="E464" s="2" t="s">
        <v>22</v>
      </c>
      <c r="F464" s="3">
        <v>371189.28</v>
      </c>
      <c r="G464" s="3">
        <v>749</v>
      </c>
      <c r="H464" s="3">
        <v>648</v>
      </c>
      <c r="I464" s="3" t="s">
        <v>256</v>
      </c>
      <c r="J464" s="18">
        <v>1444</v>
      </c>
      <c r="K464" s="18">
        <v>1</v>
      </c>
    </row>
    <row r="465" spans="1:11" ht="25.8" x14ac:dyDescent="0.5">
      <c r="A465" s="2">
        <v>2022</v>
      </c>
      <c r="B465" s="2" t="s">
        <v>15</v>
      </c>
      <c r="C465" s="2" t="s">
        <v>9</v>
      </c>
      <c r="D465" s="2" t="s">
        <v>83</v>
      </c>
      <c r="E465" s="2" t="s">
        <v>17</v>
      </c>
      <c r="F465" s="3">
        <v>371324.8</v>
      </c>
      <c r="G465" s="3">
        <v>795</v>
      </c>
      <c r="H465" s="3">
        <v>469</v>
      </c>
      <c r="I465" s="3" t="s">
        <v>257</v>
      </c>
      <c r="J465" s="18">
        <v>747</v>
      </c>
      <c r="K465" s="18">
        <v>1</v>
      </c>
    </row>
    <row r="466" spans="1:11" ht="25.8" x14ac:dyDescent="0.5">
      <c r="A466" s="2">
        <v>2022</v>
      </c>
      <c r="B466" s="2" t="s">
        <v>50</v>
      </c>
      <c r="C466" s="2" t="s">
        <v>9</v>
      </c>
      <c r="D466" s="2" t="s">
        <v>167</v>
      </c>
      <c r="E466" s="2" t="s">
        <v>22</v>
      </c>
      <c r="F466" s="3">
        <v>390192.32</v>
      </c>
      <c r="G466" s="3">
        <v>968</v>
      </c>
      <c r="H466" s="3">
        <v>330</v>
      </c>
      <c r="I466" s="3" t="s">
        <v>258</v>
      </c>
      <c r="J466" s="18">
        <v>446</v>
      </c>
      <c r="K466" s="18">
        <v>1</v>
      </c>
    </row>
    <row r="467" spans="1:11" ht="25.8" x14ac:dyDescent="0.5">
      <c r="A467" s="2">
        <v>2022</v>
      </c>
      <c r="B467" s="2" t="s">
        <v>29</v>
      </c>
      <c r="C467" s="2" t="s">
        <v>9</v>
      </c>
      <c r="D467" s="2" t="s">
        <v>85</v>
      </c>
      <c r="E467" s="2" t="s">
        <v>38</v>
      </c>
      <c r="F467" s="3">
        <v>390192.32</v>
      </c>
      <c r="G467" s="3">
        <v>784</v>
      </c>
      <c r="H467" s="3">
        <v>540</v>
      </c>
      <c r="I467" s="3" t="s">
        <v>259</v>
      </c>
      <c r="J467" s="18">
        <v>1231</v>
      </c>
      <c r="K467" s="18">
        <v>1</v>
      </c>
    </row>
    <row r="468" spans="1:11" ht="25.8" x14ac:dyDescent="0.5">
      <c r="A468" s="2">
        <v>2022</v>
      </c>
      <c r="B468" s="2" t="s">
        <v>54</v>
      </c>
      <c r="C468" s="2" t="s">
        <v>9</v>
      </c>
      <c r="D468" s="2" t="s">
        <v>86</v>
      </c>
      <c r="E468" s="2" t="s">
        <v>35</v>
      </c>
      <c r="F468" s="3">
        <v>395730.72</v>
      </c>
      <c r="G468" s="3">
        <v>610</v>
      </c>
      <c r="H468" s="3">
        <v>970</v>
      </c>
      <c r="I468" s="3" t="s">
        <v>260</v>
      </c>
      <c r="J468" s="18">
        <v>1941</v>
      </c>
      <c r="K468" s="18">
        <v>1</v>
      </c>
    </row>
    <row r="469" spans="1:11" ht="25.8" x14ac:dyDescent="0.5">
      <c r="A469" s="2">
        <v>2022</v>
      </c>
      <c r="B469" s="2" t="s">
        <v>12</v>
      </c>
      <c r="C469" s="2" t="s">
        <v>9</v>
      </c>
      <c r="D469" s="2" t="s">
        <v>209</v>
      </c>
      <c r="E469" s="2" t="s">
        <v>17</v>
      </c>
      <c r="F469" s="3">
        <v>396397.12</v>
      </c>
      <c r="G469" s="3">
        <v>872</v>
      </c>
      <c r="H469" s="3">
        <v>249</v>
      </c>
      <c r="I469" s="3" t="s">
        <v>261</v>
      </c>
      <c r="J469" s="18">
        <v>397</v>
      </c>
      <c r="K469" s="18">
        <v>1</v>
      </c>
    </row>
    <row r="470" spans="1:11" ht="25.8" x14ac:dyDescent="0.5">
      <c r="A470" s="2">
        <v>2022</v>
      </c>
      <c r="B470" s="2" t="s">
        <v>18</v>
      </c>
      <c r="C470" s="2" t="s">
        <v>9</v>
      </c>
      <c r="D470" s="2" t="s">
        <v>194</v>
      </c>
      <c r="E470" s="2" t="s">
        <v>38</v>
      </c>
      <c r="F470" s="3">
        <v>396397.12</v>
      </c>
      <c r="G470" s="3">
        <v>597</v>
      </c>
      <c r="H470" s="3">
        <v>287</v>
      </c>
      <c r="I470" s="3" t="s">
        <v>250</v>
      </c>
      <c r="J470" s="18">
        <v>346</v>
      </c>
      <c r="K470" s="18">
        <v>1</v>
      </c>
    </row>
    <row r="471" spans="1:11" ht="25.8" x14ac:dyDescent="0.5">
      <c r="A471" s="2">
        <v>2022</v>
      </c>
      <c r="B471" s="2" t="s">
        <v>27</v>
      </c>
      <c r="C471" s="2" t="s">
        <v>9</v>
      </c>
      <c r="D471" s="2" t="s">
        <v>87</v>
      </c>
      <c r="E471" s="2" t="s">
        <v>66</v>
      </c>
      <c r="F471" s="3">
        <v>396397.12</v>
      </c>
      <c r="G471" s="3">
        <v>168</v>
      </c>
      <c r="H471" s="3">
        <v>97</v>
      </c>
      <c r="I471" s="3" t="s">
        <v>251</v>
      </c>
      <c r="J471" s="18">
        <v>120</v>
      </c>
      <c r="K471" s="18">
        <v>1</v>
      </c>
    </row>
    <row r="472" spans="1:11" ht="25.8" x14ac:dyDescent="0.5">
      <c r="A472" s="2">
        <v>2022</v>
      </c>
      <c r="B472" s="2" t="s">
        <v>29</v>
      </c>
      <c r="C472" s="2" t="s">
        <v>9</v>
      </c>
      <c r="D472" s="2" t="s">
        <v>191</v>
      </c>
      <c r="E472" s="2" t="s">
        <v>14</v>
      </c>
      <c r="F472" s="3">
        <v>405587.83999999997</v>
      </c>
      <c r="G472" s="3">
        <v>312</v>
      </c>
      <c r="H472" s="3">
        <v>983</v>
      </c>
      <c r="I472" s="3" t="s">
        <v>252</v>
      </c>
      <c r="J472" s="18">
        <v>1782</v>
      </c>
      <c r="K472" s="18">
        <v>1</v>
      </c>
    </row>
    <row r="473" spans="1:11" ht="25.8" x14ac:dyDescent="0.5">
      <c r="A473" s="2">
        <v>2022</v>
      </c>
      <c r="B473" s="2" t="s">
        <v>15</v>
      </c>
      <c r="C473" s="2" t="s">
        <v>9</v>
      </c>
      <c r="D473" s="2" t="s">
        <v>90</v>
      </c>
      <c r="E473" s="2" t="s">
        <v>17</v>
      </c>
      <c r="F473" s="3">
        <v>417552.8</v>
      </c>
      <c r="G473" s="3">
        <v>795</v>
      </c>
      <c r="H473" s="3">
        <v>469</v>
      </c>
      <c r="I473" s="3" t="s">
        <v>253</v>
      </c>
      <c r="J473" s="18">
        <v>901</v>
      </c>
      <c r="K473" s="18">
        <v>1</v>
      </c>
    </row>
    <row r="474" spans="1:11" ht="25.8" x14ac:dyDescent="0.5">
      <c r="A474" s="2">
        <v>2022</v>
      </c>
      <c r="B474" s="2" t="s">
        <v>27</v>
      </c>
      <c r="C474" s="2" t="s">
        <v>9</v>
      </c>
      <c r="D474" s="2" t="s">
        <v>88</v>
      </c>
      <c r="E474" s="2" t="s">
        <v>26</v>
      </c>
      <c r="F474" s="3">
        <v>429470.71999999997</v>
      </c>
      <c r="G474" s="3">
        <v>287</v>
      </c>
      <c r="H474" s="3">
        <v>744</v>
      </c>
      <c r="I474" s="3" t="s">
        <v>254</v>
      </c>
      <c r="J474" s="18">
        <v>939</v>
      </c>
      <c r="K474" s="18">
        <v>1</v>
      </c>
    </row>
    <row r="475" spans="1:11" ht="25.8" x14ac:dyDescent="0.5">
      <c r="A475" s="2">
        <v>2022</v>
      </c>
      <c r="B475" s="2" t="s">
        <v>50</v>
      </c>
      <c r="C475" s="2" t="s">
        <v>9</v>
      </c>
      <c r="D475" s="2" t="s">
        <v>52</v>
      </c>
      <c r="E475" s="2" t="s">
        <v>14</v>
      </c>
      <c r="F475" s="3">
        <v>437881.92</v>
      </c>
      <c r="G475" s="3">
        <v>413</v>
      </c>
      <c r="H475" s="3">
        <v>930</v>
      </c>
      <c r="I475" s="3" t="s">
        <v>255</v>
      </c>
      <c r="J475" s="18">
        <v>1745</v>
      </c>
      <c r="K475" s="18">
        <v>1</v>
      </c>
    </row>
    <row r="476" spans="1:11" ht="25.8" x14ac:dyDescent="0.5">
      <c r="A476" s="2">
        <v>2022</v>
      </c>
      <c r="B476" s="2" t="s">
        <v>50</v>
      </c>
      <c r="C476" s="2" t="s">
        <v>232</v>
      </c>
      <c r="D476" s="2" t="s">
        <v>93</v>
      </c>
      <c r="E476" s="2" t="s">
        <v>20</v>
      </c>
      <c r="F476" s="3">
        <v>437881.92</v>
      </c>
      <c r="G476" s="3">
        <v>839</v>
      </c>
      <c r="H476" s="3">
        <v>334</v>
      </c>
      <c r="I476" s="3" t="s">
        <v>256</v>
      </c>
      <c r="J476" s="18">
        <v>822</v>
      </c>
      <c r="K476" s="18">
        <v>1</v>
      </c>
    </row>
    <row r="477" spans="1:11" ht="25.8" x14ac:dyDescent="0.5">
      <c r="A477" s="2">
        <v>2022</v>
      </c>
      <c r="B477" s="2" t="s">
        <v>29</v>
      </c>
      <c r="C477" s="2" t="s">
        <v>231</v>
      </c>
      <c r="D477" s="2" t="s">
        <v>94</v>
      </c>
      <c r="E477" s="2" t="s">
        <v>66</v>
      </c>
      <c r="F477" s="3">
        <v>439391.68</v>
      </c>
      <c r="G477" s="3">
        <v>930</v>
      </c>
      <c r="H477" s="3">
        <v>563</v>
      </c>
      <c r="I477" s="3" t="s">
        <v>257</v>
      </c>
      <c r="J477" s="18">
        <v>900</v>
      </c>
      <c r="K477" s="18">
        <v>1</v>
      </c>
    </row>
    <row r="478" spans="1:11" ht="25.8" x14ac:dyDescent="0.5">
      <c r="A478" s="2">
        <v>2022</v>
      </c>
      <c r="B478" s="2" t="s">
        <v>15</v>
      </c>
      <c r="C478" s="2" t="s">
        <v>9</v>
      </c>
      <c r="D478" s="2" t="s">
        <v>96</v>
      </c>
      <c r="E478" s="2" t="s">
        <v>17</v>
      </c>
      <c r="F478" s="3">
        <v>457304.96</v>
      </c>
      <c r="G478" s="3">
        <v>795</v>
      </c>
      <c r="H478" s="3">
        <v>469</v>
      </c>
      <c r="I478" s="3" t="s">
        <v>258</v>
      </c>
      <c r="J478" s="18">
        <v>1070</v>
      </c>
      <c r="K478" s="18">
        <v>1</v>
      </c>
    </row>
    <row r="479" spans="1:11" ht="25.8" x14ac:dyDescent="0.5">
      <c r="A479" s="2">
        <v>2022</v>
      </c>
      <c r="B479" s="2" t="s">
        <v>15</v>
      </c>
      <c r="C479" s="2" t="s">
        <v>9</v>
      </c>
      <c r="D479" s="2" t="s">
        <v>97</v>
      </c>
      <c r="E479" s="2" t="s">
        <v>38</v>
      </c>
      <c r="F479" s="3">
        <v>461137.6</v>
      </c>
      <c r="G479" s="3">
        <v>287</v>
      </c>
      <c r="H479" s="3">
        <v>744</v>
      </c>
      <c r="I479" s="3" t="s">
        <v>259</v>
      </c>
      <c r="J479" s="18">
        <v>1822</v>
      </c>
      <c r="K479" s="18">
        <v>1</v>
      </c>
    </row>
    <row r="480" spans="1:11" ht="25.8" x14ac:dyDescent="0.5">
      <c r="A480" s="2">
        <v>2022</v>
      </c>
      <c r="B480" s="2" t="s">
        <v>15</v>
      </c>
      <c r="C480" s="2" t="s">
        <v>9</v>
      </c>
      <c r="D480" s="2" t="s">
        <v>98</v>
      </c>
      <c r="E480" s="2" t="s">
        <v>20</v>
      </c>
      <c r="F480" s="3">
        <v>462946.4</v>
      </c>
      <c r="G480" s="3">
        <v>839</v>
      </c>
      <c r="H480" s="3">
        <v>334</v>
      </c>
      <c r="I480" s="3" t="s">
        <v>260</v>
      </c>
      <c r="J480" s="18">
        <v>516</v>
      </c>
      <c r="K480" s="18">
        <v>1</v>
      </c>
    </row>
    <row r="481" spans="1:11" ht="25.8" x14ac:dyDescent="0.5">
      <c r="A481" s="2">
        <v>2022</v>
      </c>
      <c r="B481" s="2" t="s">
        <v>18</v>
      </c>
      <c r="C481" s="2" t="s">
        <v>9</v>
      </c>
      <c r="D481" s="2" t="s">
        <v>204</v>
      </c>
      <c r="E481" s="2" t="s">
        <v>38</v>
      </c>
      <c r="F481" s="3">
        <v>466324.32</v>
      </c>
      <c r="G481" s="3">
        <v>968</v>
      </c>
      <c r="H481" s="3">
        <v>330</v>
      </c>
      <c r="I481" s="3" t="s">
        <v>261</v>
      </c>
      <c r="J481" s="18">
        <v>766</v>
      </c>
      <c r="K481" s="18">
        <v>1</v>
      </c>
    </row>
    <row r="482" spans="1:11" ht="25.8" x14ac:dyDescent="0.5">
      <c r="A482" s="2">
        <v>2022</v>
      </c>
      <c r="B482" s="2" t="s">
        <v>18</v>
      </c>
      <c r="C482" s="2" t="s">
        <v>228</v>
      </c>
      <c r="D482" s="2" t="s">
        <v>100</v>
      </c>
      <c r="E482" s="2" t="s">
        <v>35</v>
      </c>
      <c r="F482" s="3">
        <v>466947.04</v>
      </c>
      <c r="G482" s="3">
        <v>597</v>
      </c>
      <c r="H482" s="3">
        <v>287</v>
      </c>
      <c r="I482" s="3" t="s">
        <v>250</v>
      </c>
      <c r="J482" s="18">
        <v>519</v>
      </c>
      <c r="K482" s="18">
        <v>1</v>
      </c>
    </row>
    <row r="483" spans="1:11" ht="25.8" x14ac:dyDescent="0.5">
      <c r="A483" s="2">
        <v>2022</v>
      </c>
      <c r="B483" s="2" t="s">
        <v>15</v>
      </c>
      <c r="C483" s="2" t="s">
        <v>9</v>
      </c>
      <c r="D483" s="2" t="s">
        <v>152</v>
      </c>
      <c r="E483" s="2" t="s">
        <v>20</v>
      </c>
      <c r="F483" s="3">
        <v>466947.04</v>
      </c>
      <c r="G483" s="3">
        <v>872</v>
      </c>
      <c r="H483" s="3">
        <v>249</v>
      </c>
      <c r="I483" s="3" t="s">
        <v>251</v>
      </c>
      <c r="J483" s="18">
        <v>606</v>
      </c>
      <c r="K483" s="18">
        <v>1</v>
      </c>
    </row>
    <row r="484" spans="1:11" ht="25.8" x14ac:dyDescent="0.5">
      <c r="A484" s="2">
        <v>2022</v>
      </c>
      <c r="B484" s="2" t="s">
        <v>54</v>
      </c>
      <c r="C484" s="2" t="s">
        <v>233</v>
      </c>
      <c r="D484" s="2" t="s">
        <v>101</v>
      </c>
      <c r="E484" s="2" t="s">
        <v>35</v>
      </c>
      <c r="F484" s="3">
        <v>467300.96</v>
      </c>
      <c r="G484" s="3">
        <v>749</v>
      </c>
      <c r="H484" s="3">
        <v>648</v>
      </c>
      <c r="I484" s="3" t="s">
        <v>252</v>
      </c>
      <c r="J484" s="18">
        <v>913</v>
      </c>
      <c r="K484" s="18">
        <v>1</v>
      </c>
    </row>
    <row r="485" spans="1:11" ht="25.8" x14ac:dyDescent="0.5">
      <c r="A485" s="2">
        <v>2022</v>
      </c>
      <c r="B485" s="2" t="s">
        <v>12</v>
      </c>
      <c r="C485" s="2" t="s">
        <v>9</v>
      </c>
      <c r="D485" s="2" t="s">
        <v>95</v>
      </c>
      <c r="E485" s="2" t="s">
        <v>35</v>
      </c>
      <c r="F485" s="3">
        <v>472993.92</v>
      </c>
      <c r="G485" s="3">
        <v>872</v>
      </c>
      <c r="H485" s="3">
        <v>249</v>
      </c>
      <c r="I485" s="3" t="s">
        <v>253</v>
      </c>
      <c r="J485" s="18">
        <v>621</v>
      </c>
      <c r="K485" s="18">
        <v>1</v>
      </c>
    </row>
    <row r="486" spans="1:11" ht="25.8" x14ac:dyDescent="0.5">
      <c r="A486" s="2">
        <v>2022</v>
      </c>
      <c r="B486" s="2" t="s">
        <v>27</v>
      </c>
      <c r="C486" s="2" t="s">
        <v>9</v>
      </c>
      <c r="D486" s="2" t="s">
        <v>103</v>
      </c>
      <c r="E486" s="2" t="s">
        <v>11</v>
      </c>
      <c r="F486" s="3">
        <v>472993.92</v>
      </c>
      <c r="G486" s="3">
        <v>577</v>
      </c>
      <c r="H486" s="3">
        <v>175</v>
      </c>
      <c r="I486" s="3" t="s">
        <v>254</v>
      </c>
      <c r="J486" s="18">
        <v>233</v>
      </c>
      <c r="K486" s="18">
        <v>1</v>
      </c>
    </row>
    <row r="487" spans="1:11" ht="25.8" x14ac:dyDescent="0.5">
      <c r="A487" s="2">
        <v>2022</v>
      </c>
      <c r="B487" s="2" t="s">
        <v>18</v>
      </c>
      <c r="C487" s="2" t="s">
        <v>9</v>
      </c>
      <c r="D487" s="2" t="s">
        <v>174</v>
      </c>
      <c r="E487" s="2" t="s">
        <v>11</v>
      </c>
      <c r="F487" s="3">
        <v>472993.92</v>
      </c>
      <c r="G487" s="3">
        <v>872</v>
      </c>
      <c r="H487" s="3">
        <v>249</v>
      </c>
      <c r="I487" s="3" t="s">
        <v>255</v>
      </c>
      <c r="J487" s="18">
        <v>442</v>
      </c>
      <c r="K487" s="18">
        <v>1</v>
      </c>
    </row>
    <row r="488" spans="1:11" ht="25.8" x14ac:dyDescent="0.5">
      <c r="A488" s="2">
        <v>2022</v>
      </c>
      <c r="B488" s="2" t="s">
        <v>27</v>
      </c>
      <c r="C488" s="2" t="s">
        <v>9</v>
      </c>
      <c r="D488" s="2" t="s">
        <v>92</v>
      </c>
      <c r="E488" s="2" t="s">
        <v>11</v>
      </c>
      <c r="F488" s="3">
        <v>472993.92</v>
      </c>
      <c r="G488" s="3">
        <v>577</v>
      </c>
      <c r="H488" s="3">
        <v>175</v>
      </c>
      <c r="I488" s="3" t="s">
        <v>256</v>
      </c>
      <c r="J488" s="18">
        <v>220</v>
      </c>
      <c r="K488" s="18">
        <v>1</v>
      </c>
    </row>
    <row r="489" spans="1:11" ht="25.8" x14ac:dyDescent="0.5">
      <c r="A489" s="2">
        <v>2022</v>
      </c>
      <c r="B489" s="2" t="s">
        <v>15</v>
      </c>
      <c r="C489" s="2" t="s">
        <v>9</v>
      </c>
      <c r="D489" s="2" t="s">
        <v>225</v>
      </c>
      <c r="E489" s="2" t="s">
        <v>11</v>
      </c>
      <c r="F489" s="3">
        <v>472993.92</v>
      </c>
      <c r="G489" s="3">
        <v>93</v>
      </c>
      <c r="H489" s="3">
        <v>852</v>
      </c>
      <c r="I489" s="3" t="s">
        <v>257</v>
      </c>
      <c r="J489" s="18">
        <v>1889</v>
      </c>
      <c r="K489" s="18">
        <v>1</v>
      </c>
    </row>
    <row r="490" spans="1:11" ht="25.8" x14ac:dyDescent="0.5">
      <c r="A490" s="2">
        <v>2022</v>
      </c>
      <c r="B490" s="2" t="s">
        <v>18</v>
      </c>
      <c r="C490" s="2" t="s">
        <v>9</v>
      </c>
      <c r="D490" s="2" t="s">
        <v>25</v>
      </c>
      <c r="E490" s="2" t="s">
        <v>11</v>
      </c>
      <c r="F490" s="3">
        <v>472993.92</v>
      </c>
      <c r="G490" s="3">
        <v>403</v>
      </c>
      <c r="H490" s="3">
        <v>953</v>
      </c>
      <c r="I490" s="3" t="s">
        <v>258</v>
      </c>
      <c r="J490" s="18">
        <v>1652</v>
      </c>
      <c r="K490" s="18">
        <v>1</v>
      </c>
    </row>
    <row r="491" spans="1:11" ht="25.8" x14ac:dyDescent="0.5">
      <c r="A491" s="2">
        <v>2022</v>
      </c>
      <c r="B491" s="2" t="s">
        <v>18</v>
      </c>
      <c r="C491" s="2" t="s">
        <v>9</v>
      </c>
      <c r="D491" s="2" t="s">
        <v>177</v>
      </c>
      <c r="E491" s="2" t="s">
        <v>11</v>
      </c>
      <c r="F491" s="3">
        <v>472993.92</v>
      </c>
      <c r="G491" s="3">
        <v>968</v>
      </c>
      <c r="H491" s="3">
        <v>330</v>
      </c>
      <c r="I491" s="3" t="s">
        <v>259</v>
      </c>
      <c r="J491" s="18">
        <v>437</v>
      </c>
      <c r="K491" s="18">
        <v>1</v>
      </c>
    </row>
    <row r="492" spans="1:11" ht="25.8" x14ac:dyDescent="0.5">
      <c r="A492" s="2">
        <v>2022</v>
      </c>
      <c r="B492" s="2" t="s">
        <v>18</v>
      </c>
      <c r="C492" s="2" t="s">
        <v>9</v>
      </c>
      <c r="D492" s="2" t="s">
        <v>76</v>
      </c>
      <c r="E492" s="2" t="s">
        <v>11</v>
      </c>
      <c r="F492" s="3">
        <v>472993.92</v>
      </c>
      <c r="G492" s="3">
        <v>610</v>
      </c>
      <c r="H492" s="3">
        <v>970</v>
      </c>
      <c r="I492" s="3" t="s">
        <v>260</v>
      </c>
      <c r="J492" s="18">
        <v>1299</v>
      </c>
      <c r="K492" s="18">
        <v>1</v>
      </c>
    </row>
    <row r="493" spans="1:11" ht="25.8" x14ac:dyDescent="0.5">
      <c r="A493" s="2">
        <v>2022</v>
      </c>
      <c r="B493" s="2" t="s">
        <v>18</v>
      </c>
      <c r="C493" s="2" t="s">
        <v>9</v>
      </c>
      <c r="D493" s="2" t="s">
        <v>16</v>
      </c>
      <c r="E493" s="2" t="s">
        <v>11</v>
      </c>
      <c r="F493" s="3">
        <v>472993.92</v>
      </c>
      <c r="G493" s="3">
        <v>968</v>
      </c>
      <c r="H493" s="3">
        <v>330</v>
      </c>
      <c r="I493" s="3" t="s">
        <v>261</v>
      </c>
      <c r="J493" s="18">
        <v>410</v>
      </c>
      <c r="K493" s="18">
        <v>1</v>
      </c>
    </row>
    <row r="494" spans="1:11" ht="25.8" x14ac:dyDescent="0.5">
      <c r="A494" s="2">
        <v>2022</v>
      </c>
      <c r="B494" s="2" t="s">
        <v>18</v>
      </c>
      <c r="C494" s="2" t="s">
        <v>9</v>
      </c>
      <c r="D494" s="2" t="s">
        <v>143</v>
      </c>
      <c r="E494" s="2" t="s">
        <v>11</v>
      </c>
      <c r="F494" s="3">
        <v>472993.92</v>
      </c>
      <c r="G494" s="3">
        <v>930</v>
      </c>
      <c r="H494" s="3">
        <v>563</v>
      </c>
      <c r="I494" s="3" t="s">
        <v>250</v>
      </c>
      <c r="J494" s="18">
        <v>876</v>
      </c>
      <c r="K494" s="18">
        <v>1</v>
      </c>
    </row>
    <row r="495" spans="1:11" ht="25.8" x14ac:dyDescent="0.5">
      <c r="A495" s="2">
        <v>2022</v>
      </c>
      <c r="B495" s="2" t="s">
        <v>23</v>
      </c>
      <c r="C495" s="2" t="s">
        <v>9</v>
      </c>
      <c r="D495" s="2" t="s">
        <v>183</v>
      </c>
      <c r="E495" s="2" t="s">
        <v>11</v>
      </c>
      <c r="F495" s="3">
        <v>472993.92</v>
      </c>
      <c r="G495" s="3">
        <v>403</v>
      </c>
      <c r="H495" s="3">
        <v>953</v>
      </c>
      <c r="I495" s="3" t="s">
        <v>251</v>
      </c>
      <c r="J495" s="18">
        <v>2372</v>
      </c>
      <c r="K495" s="18">
        <v>1</v>
      </c>
    </row>
    <row r="496" spans="1:11" ht="25.8" x14ac:dyDescent="0.5">
      <c r="A496" s="2">
        <v>2022</v>
      </c>
      <c r="B496" s="2" t="s">
        <v>18</v>
      </c>
      <c r="C496" s="2" t="s">
        <v>9</v>
      </c>
      <c r="D496" s="2" t="s">
        <v>70</v>
      </c>
      <c r="E496" s="2" t="s">
        <v>11</v>
      </c>
      <c r="F496" s="3">
        <v>472993.92</v>
      </c>
      <c r="G496" s="3">
        <v>784</v>
      </c>
      <c r="H496" s="3">
        <v>540</v>
      </c>
      <c r="I496" s="3" t="s">
        <v>252</v>
      </c>
      <c r="J496" s="18">
        <v>861</v>
      </c>
      <c r="K496" s="18">
        <v>1</v>
      </c>
    </row>
    <row r="497" spans="1:11" ht="25.8" x14ac:dyDescent="0.5">
      <c r="A497" s="2">
        <v>2022</v>
      </c>
      <c r="B497" s="2" t="s">
        <v>23</v>
      </c>
      <c r="C497" s="2" t="s">
        <v>9</v>
      </c>
      <c r="D497" s="2" t="s">
        <v>73</v>
      </c>
      <c r="E497" s="2" t="s">
        <v>11</v>
      </c>
      <c r="F497" s="3">
        <v>472993.92</v>
      </c>
      <c r="G497" s="3">
        <v>168</v>
      </c>
      <c r="H497" s="3">
        <v>97</v>
      </c>
      <c r="I497" s="3" t="s">
        <v>253</v>
      </c>
      <c r="J497" s="18">
        <v>139</v>
      </c>
      <c r="K497" s="18">
        <v>1</v>
      </c>
    </row>
    <row r="498" spans="1:11" ht="25.8" x14ac:dyDescent="0.5">
      <c r="A498" s="2">
        <v>2022</v>
      </c>
      <c r="B498" s="2" t="s">
        <v>15</v>
      </c>
      <c r="C498" s="2" t="s">
        <v>9</v>
      </c>
      <c r="D498" s="2" t="s">
        <v>164</v>
      </c>
      <c r="E498" s="2" t="s">
        <v>11</v>
      </c>
      <c r="F498" s="3">
        <v>472993.92</v>
      </c>
      <c r="G498" s="3">
        <v>403</v>
      </c>
      <c r="H498" s="3">
        <v>953</v>
      </c>
      <c r="I498" s="3" t="s">
        <v>254</v>
      </c>
      <c r="J498" s="18">
        <v>1516</v>
      </c>
      <c r="K498" s="18">
        <v>1</v>
      </c>
    </row>
    <row r="499" spans="1:11" ht="25.8" x14ac:dyDescent="0.5">
      <c r="A499" s="2">
        <v>2022</v>
      </c>
      <c r="B499" s="2" t="s">
        <v>27</v>
      </c>
      <c r="C499" s="2" t="s">
        <v>9</v>
      </c>
      <c r="D499" s="2" t="s">
        <v>153</v>
      </c>
      <c r="E499" s="2" t="s">
        <v>11</v>
      </c>
      <c r="F499" s="3">
        <v>472993.92</v>
      </c>
      <c r="G499" s="3">
        <v>577</v>
      </c>
      <c r="H499" s="3">
        <v>175</v>
      </c>
      <c r="I499" s="3" t="s">
        <v>255</v>
      </c>
      <c r="J499" s="18">
        <v>193</v>
      </c>
      <c r="K499" s="18">
        <v>1</v>
      </c>
    </row>
    <row r="500" spans="1:11" ht="25.8" x14ac:dyDescent="0.5">
      <c r="A500" s="2">
        <v>2022</v>
      </c>
      <c r="B500" s="2" t="s">
        <v>15</v>
      </c>
      <c r="C500" s="2" t="s">
        <v>9</v>
      </c>
      <c r="D500" s="2" t="s">
        <v>211</v>
      </c>
      <c r="E500" s="2" t="s">
        <v>11</v>
      </c>
      <c r="F500" s="3">
        <v>472993.92</v>
      </c>
      <c r="G500" s="3">
        <v>784</v>
      </c>
      <c r="H500" s="3">
        <v>540</v>
      </c>
      <c r="I500" s="3" t="s">
        <v>256</v>
      </c>
      <c r="J500" s="18">
        <v>1009</v>
      </c>
      <c r="K500" s="18">
        <v>1</v>
      </c>
    </row>
    <row r="501" spans="1:11" ht="25.8" x14ac:dyDescent="0.5">
      <c r="A501" s="2">
        <v>2022</v>
      </c>
      <c r="B501" s="2" t="s">
        <v>18</v>
      </c>
      <c r="C501" s="2" t="s">
        <v>9</v>
      </c>
      <c r="D501" s="2" t="s">
        <v>60</v>
      </c>
      <c r="E501" s="2" t="s">
        <v>11</v>
      </c>
      <c r="F501" s="3">
        <v>472993.92</v>
      </c>
      <c r="G501" s="3">
        <v>413</v>
      </c>
      <c r="H501" s="3">
        <v>930</v>
      </c>
      <c r="I501" s="3" t="s">
        <v>257</v>
      </c>
      <c r="J501" s="18">
        <v>1588</v>
      </c>
      <c r="K501" s="18">
        <v>1</v>
      </c>
    </row>
    <row r="502" spans="1:11" ht="25.8" x14ac:dyDescent="0.5">
      <c r="A502" s="2">
        <v>2022</v>
      </c>
      <c r="B502" s="2" t="s">
        <v>59</v>
      </c>
      <c r="C502" s="2" t="s">
        <v>9</v>
      </c>
      <c r="D502" s="2" t="s">
        <v>105</v>
      </c>
      <c r="E502" s="2" t="s">
        <v>14</v>
      </c>
      <c r="F502" s="3">
        <v>480165.28</v>
      </c>
      <c r="G502" s="3">
        <v>872</v>
      </c>
      <c r="H502" s="3">
        <v>249</v>
      </c>
      <c r="I502" s="3" t="s">
        <v>258</v>
      </c>
      <c r="J502" s="18">
        <v>468</v>
      </c>
      <c r="K502" s="18">
        <v>1</v>
      </c>
    </row>
    <row r="503" spans="1:11" ht="25.8" x14ac:dyDescent="0.5">
      <c r="A503" s="2">
        <v>2022</v>
      </c>
      <c r="B503" s="2" t="s">
        <v>27</v>
      </c>
      <c r="C503" s="2" t="s">
        <v>9</v>
      </c>
      <c r="D503" s="2" t="s">
        <v>213</v>
      </c>
      <c r="E503" s="2" t="s">
        <v>26</v>
      </c>
      <c r="F503" s="3">
        <v>482446.72</v>
      </c>
      <c r="G503" s="3">
        <v>692</v>
      </c>
      <c r="H503" s="3">
        <v>300</v>
      </c>
      <c r="I503" s="3" t="s">
        <v>259</v>
      </c>
      <c r="J503" s="18">
        <v>657</v>
      </c>
      <c r="K503" s="18">
        <v>1</v>
      </c>
    </row>
    <row r="504" spans="1:11" ht="25.8" x14ac:dyDescent="0.5">
      <c r="A504" s="2">
        <v>2022</v>
      </c>
      <c r="B504" s="2" t="s">
        <v>50</v>
      </c>
      <c r="C504" s="2" t="s">
        <v>9</v>
      </c>
      <c r="D504" s="2" t="s">
        <v>210</v>
      </c>
      <c r="E504" s="2" t="s">
        <v>35</v>
      </c>
      <c r="F504" s="3">
        <v>482446.72</v>
      </c>
      <c r="G504" s="3">
        <v>287</v>
      </c>
      <c r="H504" s="3">
        <v>744</v>
      </c>
      <c r="I504" s="3" t="s">
        <v>260</v>
      </c>
      <c r="J504" s="18">
        <v>1623</v>
      </c>
      <c r="K504" s="18">
        <v>1</v>
      </c>
    </row>
    <row r="505" spans="1:11" ht="25.8" x14ac:dyDescent="0.5">
      <c r="A505" s="2">
        <v>2022</v>
      </c>
      <c r="B505" s="2" t="s">
        <v>18</v>
      </c>
      <c r="C505" s="2" t="s">
        <v>9</v>
      </c>
      <c r="D505" s="2" t="s">
        <v>107</v>
      </c>
      <c r="E505" s="2" t="s">
        <v>38</v>
      </c>
      <c r="F505" s="3">
        <v>482446.72</v>
      </c>
      <c r="G505" s="3">
        <v>577</v>
      </c>
      <c r="H505" s="3">
        <v>175</v>
      </c>
      <c r="I505" s="3" t="s">
        <v>261</v>
      </c>
      <c r="J505" s="18">
        <v>313</v>
      </c>
      <c r="K505" s="18">
        <v>1</v>
      </c>
    </row>
    <row r="506" spans="1:11" ht="25.8" x14ac:dyDescent="0.5">
      <c r="A506" s="2">
        <v>2022</v>
      </c>
      <c r="B506" s="2" t="s">
        <v>8</v>
      </c>
      <c r="C506" s="2" t="s">
        <v>9</v>
      </c>
      <c r="D506" s="2" t="s">
        <v>199</v>
      </c>
      <c r="E506" s="2" t="s">
        <v>14</v>
      </c>
      <c r="F506" s="3">
        <v>483679.83999999997</v>
      </c>
      <c r="G506" s="3">
        <v>930</v>
      </c>
      <c r="H506" s="3">
        <v>563</v>
      </c>
      <c r="I506" s="3" t="s">
        <v>250</v>
      </c>
      <c r="J506" s="18">
        <v>696</v>
      </c>
      <c r="K506" s="18">
        <v>1</v>
      </c>
    </row>
    <row r="507" spans="1:11" ht="25.8" x14ac:dyDescent="0.5">
      <c r="A507" s="2">
        <v>2022</v>
      </c>
      <c r="B507" s="2" t="s">
        <v>8</v>
      </c>
      <c r="C507" s="2" t="s">
        <v>9</v>
      </c>
      <c r="D507" s="2" t="s">
        <v>109</v>
      </c>
      <c r="E507" s="2" t="s">
        <v>22</v>
      </c>
      <c r="F507" s="3">
        <v>488034.4</v>
      </c>
      <c r="G507" s="3">
        <v>968</v>
      </c>
      <c r="H507" s="3">
        <v>330</v>
      </c>
      <c r="I507" s="3" t="s">
        <v>251</v>
      </c>
      <c r="J507" s="18">
        <v>671</v>
      </c>
      <c r="K507" s="18">
        <v>1</v>
      </c>
    </row>
    <row r="508" spans="1:11" ht="25.8" x14ac:dyDescent="0.5">
      <c r="A508" s="2">
        <v>2022</v>
      </c>
      <c r="B508" s="2" t="s">
        <v>12</v>
      </c>
      <c r="C508" s="2" t="s">
        <v>9</v>
      </c>
      <c r="D508" s="2" t="s">
        <v>110</v>
      </c>
      <c r="E508" s="2" t="s">
        <v>66</v>
      </c>
      <c r="F508" s="3">
        <v>491219.68</v>
      </c>
      <c r="G508" s="3">
        <v>210</v>
      </c>
      <c r="H508" s="3">
        <v>177</v>
      </c>
      <c r="I508" s="3" t="s">
        <v>252</v>
      </c>
      <c r="J508" s="18">
        <v>391</v>
      </c>
      <c r="K508" s="18">
        <v>1</v>
      </c>
    </row>
    <row r="509" spans="1:11" ht="25.8" x14ac:dyDescent="0.5">
      <c r="A509" s="2">
        <v>2022</v>
      </c>
      <c r="B509" s="2" t="s">
        <v>23</v>
      </c>
      <c r="C509" s="2" t="s">
        <v>9</v>
      </c>
      <c r="D509" s="2" t="s">
        <v>224</v>
      </c>
      <c r="E509" s="2" t="s">
        <v>17</v>
      </c>
      <c r="F509" s="3">
        <v>508671.52</v>
      </c>
      <c r="G509" s="3">
        <v>784</v>
      </c>
      <c r="H509" s="3">
        <v>540</v>
      </c>
      <c r="I509" s="3" t="s">
        <v>253</v>
      </c>
      <c r="J509" s="18">
        <v>604</v>
      </c>
      <c r="K509" s="18">
        <v>1</v>
      </c>
    </row>
    <row r="510" spans="1:11" ht="25.8" x14ac:dyDescent="0.5">
      <c r="A510" s="2">
        <v>2022</v>
      </c>
      <c r="B510" s="2" t="s">
        <v>12</v>
      </c>
      <c r="C510" s="2" t="s">
        <v>9</v>
      </c>
      <c r="D510" s="2" t="s">
        <v>112</v>
      </c>
      <c r="E510" s="2" t="s">
        <v>20</v>
      </c>
      <c r="F510" s="3">
        <v>513592.8</v>
      </c>
      <c r="G510" s="3">
        <v>403</v>
      </c>
      <c r="H510" s="3">
        <v>953</v>
      </c>
      <c r="I510" s="3" t="s">
        <v>254</v>
      </c>
      <c r="J510" s="18">
        <v>2201</v>
      </c>
      <c r="K510" s="18">
        <v>1</v>
      </c>
    </row>
    <row r="511" spans="1:11" ht="25.8" x14ac:dyDescent="0.5">
      <c r="A511" s="2">
        <v>2022</v>
      </c>
      <c r="B511" s="2" t="s">
        <v>50</v>
      </c>
      <c r="C511" s="2" t="s">
        <v>9</v>
      </c>
      <c r="D511" s="2" t="s">
        <v>223</v>
      </c>
      <c r="E511" s="2" t="s">
        <v>20</v>
      </c>
      <c r="F511" s="3">
        <v>513714.88</v>
      </c>
      <c r="G511" s="3">
        <v>839</v>
      </c>
      <c r="H511" s="3">
        <v>334</v>
      </c>
      <c r="I511" s="3" t="s">
        <v>255</v>
      </c>
      <c r="J511" s="18">
        <v>595</v>
      </c>
      <c r="K511" s="18">
        <v>1</v>
      </c>
    </row>
    <row r="512" spans="1:11" ht="25.8" x14ac:dyDescent="0.5">
      <c r="A512" s="2">
        <v>2022</v>
      </c>
      <c r="B512" s="2" t="s">
        <v>18</v>
      </c>
      <c r="C512" s="2" t="s">
        <v>9</v>
      </c>
      <c r="D512" s="2" t="s">
        <v>114</v>
      </c>
      <c r="E512" s="2" t="s">
        <v>20</v>
      </c>
      <c r="F512" s="3">
        <v>513714.88</v>
      </c>
      <c r="G512" s="3">
        <v>930</v>
      </c>
      <c r="H512" s="3">
        <v>563</v>
      </c>
      <c r="I512" s="3" t="s">
        <v>256</v>
      </c>
      <c r="J512" s="18">
        <v>1145</v>
      </c>
      <c r="K512" s="18">
        <v>1</v>
      </c>
    </row>
    <row r="513" spans="1:11" ht="25.8" x14ac:dyDescent="0.5">
      <c r="A513" s="2">
        <v>2022</v>
      </c>
      <c r="B513" s="2" t="s">
        <v>15</v>
      </c>
      <c r="C513" s="2" t="s">
        <v>9</v>
      </c>
      <c r="D513" s="2" t="s">
        <v>215</v>
      </c>
      <c r="E513" s="2" t="s">
        <v>66</v>
      </c>
      <c r="F513" s="3">
        <v>513714.88</v>
      </c>
      <c r="G513" s="3">
        <v>930</v>
      </c>
      <c r="H513" s="3">
        <v>563</v>
      </c>
      <c r="I513" s="3" t="s">
        <v>257</v>
      </c>
      <c r="J513" s="18">
        <v>1262</v>
      </c>
      <c r="K513" s="18">
        <v>1</v>
      </c>
    </row>
    <row r="514" spans="1:11" ht="25.8" x14ac:dyDescent="0.5">
      <c r="A514" s="2">
        <v>2022</v>
      </c>
      <c r="B514" s="2" t="s">
        <v>50</v>
      </c>
      <c r="C514" s="2" t="s">
        <v>229</v>
      </c>
      <c r="D514" s="2" t="s">
        <v>115</v>
      </c>
      <c r="E514" s="2" t="s">
        <v>26</v>
      </c>
      <c r="F514" s="3">
        <v>521766.56</v>
      </c>
      <c r="G514" s="3">
        <v>210</v>
      </c>
      <c r="H514" s="3">
        <v>177</v>
      </c>
      <c r="I514" s="3" t="s">
        <v>258</v>
      </c>
      <c r="J514" s="18">
        <v>387</v>
      </c>
      <c r="K514" s="18">
        <v>1</v>
      </c>
    </row>
    <row r="515" spans="1:11" ht="25.8" x14ac:dyDescent="0.5">
      <c r="A515" s="2">
        <v>2022</v>
      </c>
      <c r="B515" s="2" t="s">
        <v>59</v>
      </c>
      <c r="C515" s="2" t="s">
        <v>9</v>
      </c>
      <c r="D515" s="2" t="s">
        <v>117</v>
      </c>
      <c r="E515" s="2" t="s">
        <v>20</v>
      </c>
      <c r="F515" s="3">
        <v>524849.92000000004</v>
      </c>
      <c r="G515" s="3">
        <v>692</v>
      </c>
      <c r="H515" s="3">
        <v>300</v>
      </c>
      <c r="I515" s="3" t="s">
        <v>259</v>
      </c>
      <c r="J515" s="18">
        <v>375</v>
      </c>
      <c r="K515" s="18">
        <v>1</v>
      </c>
    </row>
    <row r="516" spans="1:11" ht="25.8" x14ac:dyDescent="0.5">
      <c r="A516" s="2">
        <v>2022</v>
      </c>
      <c r="B516" s="2" t="s">
        <v>59</v>
      </c>
      <c r="C516" s="2" t="s">
        <v>9</v>
      </c>
      <c r="D516" s="2" t="s">
        <v>118</v>
      </c>
      <c r="E516" s="2" t="s">
        <v>20</v>
      </c>
      <c r="F516" s="3">
        <v>524939.52000000002</v>
      </c>
      <c r="G516" s="3">
        <v>692</v>
      </c>
      <c r="H516" s="3">
        <v>300</v>
      </c>
      <c r="I516" s="3" t="s">
        <v>260</v>
      </c>
      <c r="J516" s="18">
        <v>618</v>
      </c>
      <c r="K516" s="18">
        <v>1</v>
      </c>
    </row>
    <row r="517" spans="1:11" ht="25.8" x14ac:dyDescent="0.5">
      <c r="A517" s="2">
        <v>2022</v>
      </c>
      <c r="B517" s="2" t="s">
        <v>23</v>
      </c>
      <c r="C517" s="2" t="s">
        <v>228</v>
      </c>
      <c r="D517" s="2" t="s">
        <v>119</v>
      </c>
      <c r="E517" s="2" t="s">
        <v>17</v>
      </c>
      <c r="F517" s="3">
        <v>526794.23999999999</v>
      </c>
      <c r="G517" s="3">
        <v>312</v>
      </c>
      <c r="H517" s="3">
        <v>983</v>
      </c>
      <c r="I517" s="3" t="s">
        <v>261</v>
      </c>
      <c r="J517" s="18">
        <v>2429</v>
      </c>
      <c r="K517" s="18">
        <v>1</v>
      </c>
    </row>
    <row r="518" spans="1:11" ht="25.8" x14ac:dyDescent="0.5">
      <c r="A518" s="2">
        <v>2022</v>
      </c>
      <c r="B518" s="2" t="s">
        <v>12</v>
      </c>
      <c r="C518" s="2" t="s">
        <v>9</v>
      </c>
      <c r="D518" s="2" t="s">
        <v>121</v>
      </c>
      <c r="E518" s="2" t="s">
        <v>35</v>
      </c>
      <c r="F518" s="3">
        <v>539590.24</v>
      </c>
      <c r="G518" s="3">
        <v>168</v>
      </c>
      <c r="H518" s="3">
        <v>97</v>
      </c>
      <c r="I518" s="3" t="s">
        <v>250</v>
      </c>
      <c r="J518" s="18">
        <v>142</v>
      </c>
      <c r="K518" s="18">
        <v>1</v>
      </c>
    </row>
    <row r="519" spans="1:11" ht="25.8" x14ac:dyDescent="0.5">
      <c r="A519" s="2">
        <v>2022</v>
      </c>
      <c r="B519" s="2" t="s">
        <v>59</v>
      </c>
      <c r="C519" s="2" t="s">
        <v>9</v>
      </c>
      <c r="D519" s="2" t="s">
        <v>122</v>
      </c>
      <c r="E519" s="2" t="s">
        <v>14</v>
      </c>
      <c r="F519" s="3">
        <v>552107.36</v>
      </c>
      <c r="G519" s="3">
        <v>839</v>
      </c>
      <c r="H519" s="3">
        <v>983</v>
      </c>
      <c r="I519" s="3" t="s">
        <v>251</v>
      </c>
      <c r="J519" s="18">
        <v>1590</v>
      </c>
      <c r="K519" s="18">
        <v>1</v>
      </c>
    </row>
    <row r="520" spans="1:11" ht="25.8" x14ac:dyDescent="0.5">
      <c r="A520" s="2">
        <v>2022</v>
      </c>
      <c r="B520" s="2" t="s">
        <v>8</v>
      </c>
      <c r="C520" s="2" t="s">
        <v>9</v>
      </c>
      <c r="D520" s="2" t="s">
        <v>186</v>
      </c>
      <c r="E520" s="2" t="s">
        <v>14</v>
      </c>
      <c r="F520" s="3">
        <v>560104.16</v>
      </c>
      <c r="G520" s="3">
        <v>312</v>
      </c>
      <c r="H520" s="3">
        <v>983</v>
      </c>
      <c r="I520" s="3" t="s">
        <v>252</v>
      </c>
      <c r="J520" s="18">
        <v>1422</v>
      </c>
      <c r="K520" s="18">
        <v>1</v>
      </c>
    </row>
    <row r="521" spans="1:11" ht="25.8" x14ac:dyDescent="0.5">
      <c r="A521" s="2">
        <v>2022</v>
      </c>
      <c r="B521" s="2" t="s">
        <v>15</v>
      </c>
      <c r="C521" s="2" t="s">
        <v>9</v>
      </c>
      <c r="D521" s="2" t="s">
        <v>125</v>
      </c>
      <c r="E521" s="2" t="s">
        <v>38</v>
      </c>
      <c r="F521" s="3">
        <v>563342.07999999996</v>
      </c>
      <c r="G521" s="3">
        <v>287</v>
      </c>
      <c r="H521" s="3">
        <v>744</v>
      </c>
      <c r="I521" s="3" t="s">
        <v>253</v>
      </c>
      <c r="J521" s="18">
        <v>918</v>
      </c>
      <c r="K521" s="18">
        <v>1</v>
      </c>
    </row>
    <row r="522" spans="1:11" ht="25.8" x14ac:dyDescent="0.5">
      <c r="A522" s="2">
        <v>2022</v>
      </c>
      <c r="B522" s="2" t="s">
        <v>27</v>
      </c>
      <c r="C522" s="2" t="s">
        <v>9</v>
      </c>
      <c r="D522" s="2" t="s">
        <v>126</v>
      </c>
      <c r="E522" s="2" t="s">
        <v>20</v>
      </c>
      <c r="F522" s="3">
        <v>566350.4</v>
      </c>
      <c r="G522" s="3">
        <v>568</v>
      </c>
      <c r="H522" s="3">
        <v>505</v>
      </c>
      <c r="I522" s="3" t="s">
        <v>254</v>
      </c>
      <c r="J522" s="18">
        <v>667</v>
      </c>
      <c r="K522" s="18">
        <v>1</v>
      </c>
    </row>
    <row r="523" spans="1:11" ht="25.8" x14ac:dyDescent="0.5">
      <c r="A523" s="2">
        <v>2022</v>
      </c>
      <c r="B523" s="2" t="s">
        <v>50</v>
      </c>
      <c r="C523" s="2" t="s">
        <v>9</v>
      </c>
      <c r="D523" s="2" t="s">
        <v>205</v>
      </c>
      <c r="E523" s="2" t="s">
        <v>38</v>
      </c>
      <c r="F523" s="3">
        <v>567481.59999999998</v>
      </c>
      <c r="G523" s="3">
        <v>568</v>
      </c>
      <c r="H523" s="3">
        <v>505</v>
      </c>
      <c r="I523" s="3" t="s">
        <v>255</v>
      </c>
      <c r="J523" s="18">
        <v>1214</v>
      </c>
      <c r="K523" s="18">
        <v>1</v>
      </c>
    </row>
    <row r="524" spans="1:11" ht="25.8" x14ac:dyDescent="0.5">
      <c r="A524" s="2">
        <v>2022</v>
      </c>
      <c r="B524" s="2" t="s">
        <v>15</v>
      </c>
      <c r="C524" s="2" t="s">
        <v>9</v>
      </c>
      <c r="D524" s="2" t="s">
        <v>128</v>
      </c>
      <c r="E524" s="2" t="s">
        <v>20</v>
      </c>
      <c r="F524" s="3">
        <v>578538.23999999999</v>
      </c>
      <c r="G524" s="3">
        <v>839</v>
      </c>
      <c r="H524" s="3">
        <v>334</v>
      </c>
      <c r="I524" s="3" t="s">
        <v>256</v>
      </c>
      <c r="J524" s="18">
        <v>825</v>
      </c>
      <c r="K524" s="18">
        <v>1</v>
      </c>
    </row>
    <row r="525" spans="1:11" ht="25.8" x14ac:dyDescent="0.5">
      <c r="A525" s="2">
        <v>2022</v>
      </c>
      <c r="B525" s="2" t="s">
        <v>8</v>
      </c>
      <c r="C525" s="2" t="s">
        <v>230</v>
      </c>
      <c r="D525" s="2" t="s">
        <v>129</v>
      </c>
      <c r="E525" s="2" t="s">
        <v>14</v>
      </c>
      <c r="F525" s="3">
        <v>581692.16000000003</v>
      </c>
      <c r="G525" s="3">
        <v>839</v>
      </c>
      <c r="H525" s="3">
        <v>983</v>
      </c>
      <c r="I525" s="3" t="s">
        <v>257</v>
      </c>
      <c r="J525" s="18">
        <v>1560</v>
      </c>
      <c r="K525" s="18">
        <v>1</v>
      </c>
    </row>
    <row r="526" spans="1:11" ht="25.8" x14ac:dyDescent="0.5">
      <c r="A526" s="2">
        <v>2022</v>
      </c>
      <c r="B526" s="2" t="s">
        <v>50</v>
      </c>
      <c r="C526" s="2" t="s">
        <v>9</v>
      </c>
      <c r="D526" s="2" t="s">
        <v>198</v>
      </c>
      <c r="E526" s="2" t="s">
        <v>20</v>
      </c>
      <c r="F526" s="3">
        <v>585294.07999999996</v>
      </c>
      <c r="G526" s="3">
        <v>930</v>
      </c>
      <c r="H526" s="3">
        <v>563</v>
      </c>
      <c r="I526" s="3" t="s">
        <v>258</v>
      </c>
      <c r="J526" s="18">
        <v>778</v>
      </c>
      <c r="K526" s="18">
        <v>1</v>
      </c>
    </row>
    <row r="527" spans="1:11" ht="25.8" x14ac:dyDescent="0.5">
      <c r="A527" s="2">
        <v>2022</v>
      </c>
      <c r="B527" s="2" t="s">
        <v>15</v>
      </c>
      <c r="C527" s="2" t="s">
        <v>9</v>
      </c>
      <c r="D527" s="2" t="s">
        <v>131</v>
      </c>
      <c r="E527" s="2" t="s">
        <v>17</v>
      </c>
      <c r="F527" s="3">
        <v>586849.76</v>
      </c>
      <c r="G527" s="3">
        <v>795</v>
      </c>
      <c r="H527" s="3">
        <v>469</v>
      </c>
      <c r="I527" s="3" t="s">
        <v>259</v>
      </c>
      <c r="J527" s="18">
        <v>1154</v>
      </c>
      <c r="K527" s="18">
        <v>1</v>
      </c>
    </row>
    <row r="528" spans="1:11" ht="25.8" x14ac:dyDescent="0.5">
      <c r="A528" s="2">
        <v>2022</v>
      </c>
      <c r="B528" s="2" t="s">
        <v>23</v>
      </c>
      <c r="C528" s="2" t="s">
        <v>9</v>
      </c>
      <c r="D528" s="2" t="s">
        <v>132</v>
      </c>
      <c r="E528" s="2" t="s">
        <v>35</v>
      </c>
      <c r="F528" s="3">
        <v>587074.88</v>
      </c>
      <c r="G528" s="3">
        <v>784</v>
      </c>
      <c r="H528" s="3">
        <v>540</v>
      </c>
      <c r="I528" s="3" t="s">
        <v>260</v>
      </c>
      <c r="J528" s="18">
        <v>660</v>
      </c>
      <c r="K528" s="18">
        <v>1</v>
      </c>
    </row>
    <row r="529" spans="1:11" ht="25.8" x14ac:dyDescent="0.5">
      <c r="A529" s="2">
        <v>2022</v>
      </c>
      <c r="B529" s="2" t="s">
        <v>29</v>
      </c>
      <c r="C529" s="2" t="s">
        <v>9</v>
      </c>
      <c r="D529" s="2" t="s">
        <v>202</v>
      </c>
      <c r="E529" s="2" t="s">
        <v>14</v>
      </c>
      <c r="F529" s="3">
        <v>612550.40000000002</v>
      </c>
      <c r="G529" s="3">
        <v>795</v>
      </c>
      <c r="H529" s="3">
        <v>469</v>
      </c>
      <c r="I529" s="3" t="s">
        <v>261</v>
      </c>
      <c r="J529" s="18">
        <v>903</v>
      </c>
      <c r="K529" s="18">
        <v>1</v>
      </c>
    </row>
    <row r="530" spans="1:11" ht="25.8" x14ac:dyDescent="0.5">
      <c r="A530" s="2">
        <v>2022</v>
      </c>
      <c r="B530" s="2" t="s">
        <v>50</v>
      </c>
      <c r="C530" s="2" t="s">
        <v>9</v>
      </c>
      <c r="D530" s="2" t="s">
        <v>135</v>
      </c>
      <c r="E530" s="2" t="s">
        <v>38</v>
      </c>
      <c r="F530" s="3">
        <v>612550.40000000002</v>
      </c>
      <c r="G530" s="3">
        <v>839</v>
      </c>
      <c r="H530" s="3">
        <v>983</v>
      </c>
      <c r="I530" s="3" t="s">
        <v>250</v>
      </c>
      <c r="J530" s="18">
        <v>1526</v>
      </c>
      <c r="K530" s="18">
        <v>1</v>
      </c>
    </row>
    <row r="531" spans="1:11" ht="25.8" x14ac:dyDescent="0.5">
      <c r="A531" s="2">
        <v>2022</v>
      </c>
      <c r="B531" s="2" t="s">
        <v>27</v>
      </c>
      <c r="C531" s="2" t="s">
        <v>9</v>
      </c>
      <c r="D531" s="2" t="s">
        <v>220</v>
      </c>
      <c r="E531" s="2" t="s">
        <v>66</v>
      </c>
      <c r="F531" s="3">
        <v>612550.40000000002</v>
      </c>
      <c r="G531" s="3">
        <v>403</v>
      </c>
      <c r="H531" s="3">
        <v>953</v>
      </c>
      <c r="I531" s="3" t="s">
        <v>251</v>
      </c>
      <c r="J531" s="18">
        <v>1756</v>
      </c>
      <c r="K531" s="18">
        <v>1</v>
      </c>
    </row>
    <row r="532" spans="1:11" ht="25.8" x14ac:dyDescent="0.5">
      <c r="A532" s="2">
        <v>2022</v>
      </c>
      <c r="B532" s="2" t="s">
        <v>27</v>
      </c>
      <c r="C532" s="2" t="s">
        <v>9</v>
      </c>
      <c r="D532" s="2" t="s">
        <v>136</v>
      </c>
      <c r="E532" s="2" t="s">
        <v>20</v>
      </c>
      <c r="F532" s="3">
        <v>624863.67999999993</v>
      </c>
      <c r="G532" s="3">
        <v>577</v>
      </c>
      <c r="H532" s="3">
        <v>175</v>
      </c>
      <c r="I532" s="3" t="s">
        <v>252</v>
      </c>
      <c r="J532" s="18">
        <v>251</v>
      </c>
      <c r="K532" s="18">
        <v>1</v>
      </c>
    </row>
    <row r="533" spans="1:11" ht="25.8" x14ac:dyDescent="0.5">
      <c r="A533" s="2">
        <v>2022</v>
      </c>
      <c r="B533" s="2" t="s">
        <v>27</v>
      </c>
      <c r="C533" s="2" t="s">
        <v>9</v>
      </c>
      <c r="D533" s="2" t="s">
        <v>137</v>
      </c>
      <c r="E533" s="2" t="s">
        <v>20</v>
      </c>
      <c r="F533" s="3">
        <v>635797.12</v>
      </c>
      <c r="G533" s="3">
        <v>577</v>
      </c>
      <c r="H533" s="3">
        <v>175</v>
      </c>
      <c r="I533" s="3" t="s">
        <v>253</v>
      </c>
      <c r="J533" s="18">
        <v>318</v>
      </c>
      <c r="K533" s="18">
        <v>1</v>
      </c>
    </row>
    <row r="534" spans="1:11" ht="25.8" x14ac:dyDescent="0.5">
      <c r="A534" s="2">
        <v>2022</v>
      </c>
      <c r="B534" s="2" t="s">
        <v>12</v>
      </c>
      <c r="C534" s="2" t="s">
        <v>9</v>
      </c>
      <c r="D534" s="2" t="s">
        <v>197</v>
      </c>
      <c r="E534" s="2" t="s">
        <v>26</v>
      </c>
      <c r="F534" s="3">
        <v>642616.80000000005</v>
      </c>
      <c r="G534" s="3">
        <v>872</v>
      </c>
      <c r="H534" s="3">
        <v>249</v>
      </c>
      <c r="I534" s="3" t="s">
        <v>254</v>
      </c>
      <c r="J534" s="18">
        <v>333</v>
      </c>
      <c r="K534" s="18">
        <v>1</v>
      </c>
    </row>
    <row r="535" spans="1:11" ht="25.8" x14ac:dyDescent="0.5">
      <c r="A535" s="2">
        <v>2022</v>
      </c>
      <c r="B535" s="2" t="s">
        <v>8</v>
      </c>
      <c r="C535" s="2" t="s">
        <v>9</v>
      </c>
      <c r="D535" s="2" t="s">
        <v>139</v>
      </c>
      <c r="E535" s="2" t="s">
        <v>22</v>
      </c>
      <c r="F535" s="3">
        <v>653988.16</v>
      </c>
      <c r="G535" s="3">
        <v>93</v>
      </c>
      <c r="H535" s="3">
        <v>852</v>
      </c>
      <c r="I535" s="3" t="s">
        <v>255</v>
      </c>
      <c r="J535" s="18">
        <v>1934</v>
      </c>
      <c r="K535" s="18">
        <v>1</v>
      </c>
    </row>
    <row r="536" spans="1:11" ht="25.8" x14ac:dyDescent="0.5">
      <c r="A536" s="2">
        <v>2022</v>
      </c>
      <c r="B536" s="2" t="s">
        <v>27</v>
      </c>
      <c r="C536" s="2" t="s">
        <v>9</v>
      </c>
      <c r="D536" s="2" t="s">
        <v>140</v>
      </c>
      <c r="E536" s="2" t="s">
        <v>22</v>
      </c>
      <c r="F536" s="3">
        <v>655095.84</v>
      </c>
      <c r="G536" s="3">
        <v>568</v>
      </c>
      <c r="H536" s="3">
        <v>505</v>
      </c>
      <c r="I536" s="3" t="s">
        <v>256</v>
      </c>
      <c r="J536" s="18">
        <v>1055</v>
      </c>
      <c r="K536" s="18">
        <v>1</v>
      </c>
    </row>
    <row r="537" spans="1:11" ht="25.8" x14ac:dyDescent="0.5">
      <c r="A537" s="2">
        <v>2022</v>
      </c>
      <c r="B537" s="2" t="s">
        <v>50</v>
      </c>
      <c r="C537" s="2" t="s">
        <v>9</v>
      </c>
      <c r="D537" s="2" t="s">
        <v>141</v>
      </c>
      <c r="E537" s="2" t="s">
        <v>22</v>
      </c>
      <c r="F537" s="3">
        <v>658492.80000000005</v>
      </c>
      <c r="G537" s="3">
        <v>968</v>
      </c>
      <c r="H537" s="3">
        <v>330</v>
      </c>
      <c r="I537" s="3" t="s">
        <v>257</v>
      </c>
      <c r="J537" s="18">
        <v>381</v>
      </c>
      <c r="K537" s="18">
        <v>1</v>
      </c>
    </row>
    <row r="538" spans="1:11" ht="25.8" x14ac:dyDescent="0.5">
      <c r="A538" s="2">
        <v>2022</v>
      </c>
      <c r="B538" s="2" t="s">
        <v>27</v>
      </c>
      <c r="C538" s="2" t="s">
        <v>9</v>
      </c>
      <c r="D538" s="2" t="s">
        <v>188</v>
      </c>
      <c r="E538" s="2" t="s">
        <v>26</v>
      </c>
      <c r="F538" s="3">
        <v>660390.07999999996</v>
      </c>
      <c r="G538" s="3">
        <v>839</v>
      </c>
      <c r="H538" s="3">
        <v>983</v>
      </c>
      <c r="I538" s="3" t="s">
        <v>258</v>
      </c>
      <c r="J538" s="18">
        <v>2405</v>
      </c>
      <c r="K538" s="18">
        <v>1</v>
      </c>
    </row>
    <row r="539" spans="1:11" ht="25.8" x14ac:dyDescent="0.5">
      <c r="A539" s="2">
        <v>2022</v>
      </c>
      <c r="B539" s="2" t="s">
        <v>18</v>
      </c>
      <c r="C539" s="2" t="s">
        <v>9</v>
      </c>
      <c r="D539" s="2" t="s">
        <v>144</v>
      </c>
      <c r="E539" s="2" t="s">
        <v>14</v>
      </c>
      <c r="F539" s="3">
        <v>670153.12</v>
      </c>
      <c r="G539" s="3">
        <v>312</v>
      </c>
      <c r="H539" s="3">
        <v>983</v>
      </c>
      <c r="I539" s="3" t="s">
        <v>259</v>
      </c>
      <c r="J539" s="18">
        <v>1477</v>
      </c>
      <c r="K539" s="18">
        <v>1</v>
      </c>
    </row>
    <row r="540" spans="1:11" ht="25.8" x14ac:dyDescent="0.5">
      <c r="A540" s="2">
        <v>2022</v>
      </c>
      <c r="B540" s="2" t="s">
        <v>59</v>
      </c>
      <c r="C540" s="2" t="s">
        <v>9</v>
      </c>
      <c r="D540" s="2" t="s">
        <v>145</v>
      </c>
      <c r="E540" s="2" t="s">
        <v>20</v>
      </c>
      <c r="F540" s="3">
        <v>685441.12</v>
      </c>
      <c r="G540" s="3">
        <v>692</v>
      </c>
      <c r="H540" s="3">
        <v>300</v>
      </c>
      <c r="I540" s="3" t="s">
        <v>260</v>
      </c>
      <c r="J540" s="18">
        <v>535</v>
      </c>
      <c r="K540" s="18">
        <v>1</v>
      </c>
    </row>
    <row r="541" spans="1:11" ht="25.8" x14ac:dyDescent="0.5">
      <c r="A541" s="2">
        <v>2022</v>
      </c>
      <c r="B541" s="2" t="s">
        <v>18</v>
      </c>
      <c r="C541" s="2" t="s">
        <v>9</v>
      </c>
      <c r="D541" s="2" t="s">
        <v>217</v>
      </c>
      <c r="E541" s="2" t="s">
        <v>22</v>
      </c>
      <c r="F541" s="3">
        <v>685790.56</v>
      </c>
      <c r="G541" s="3">
        <v>597</v>
      </c>
      <c r="H541" s="3">
        <v>287</v>
      </c>
      <c r="I541" s="3" t="s">
        <v>261</v>
      </c>
      <c r="J541" s="18">
        <v>319</v>
      </c>
      <c r="K541" s="18">
        <v>1</v>
      </c>
    </row>
    <row r="542" spans="1:11" ht="25.8" x14ac:dyDescent="0.5">
      <c r="A542" s="2">
        <v>2022</v>
      </c>
      <c r="B542" s="2" t="s">
        <v>59</v>
      </c>
      <c r="C542" s="2" t="s">
        <v>9</v>
      </c>
      <c r="D542" s="2" t="s">
        <v>227</v>
      </c>
      <c r="E542" s="2" t="s">
        <v>35</v>
      </c>
      <c r="F542" s="3">
        <v>692508.32</v>
      </c>
      <c r="G542" s="3">
        <v>413</v>
      </c>
      <c r="H542" s="3">
        <v>930</v>
      </c>
      <c r="I542" s="3" t="s">
        <v>250</v>
      </c>
      <c r="J542" s="18">
        <v>2077</v>
      </c>
      <c r="K542" s="18">
        <v>1</v>
      </c>
    </row>
    <row r="543" spans="1:11" ht="25.8" x14ac:dyDescent="0.5">
      <c r="A543" s="2">
        <v>2022</v>
      </c>
      <c r="B543" s="2" t="s">
        <v>8</v>
      </c>
      <c r="C543" s="2" t="s">
        <v>9</v>
      </c>
      <c r="D543" s="2" t="s">
        <v>219</v>
      </c>
      <c r="E543" s="2" t="s">
        <v>14</v>
      </c>
      <c r="F543" s="3">
        <v>692508.32</v>
      </c>
      <c r="G543" s="3">
        <v>210</v>
      </c>
      <c r="H543" s="3">
        <v>177</v>
      </c>
      <c r="I543" s="3" t="s">
        <v>251</v>
      </c>
      <c r="J543" s="18">
        <v>409</v>
      </c>
      <c r="K543" s="18">
        <v>1</v>
      </c>
    </row>
    <row r="544" spans="1:11" ht="25.8" x14ac:dyDescent="0.5">
      <c r="A544" s="2">
        <v>2022</v>
      </c>
      <c r="B544" s="2" t="s">
        <v>15</v>
      </c>
      <c r="C544" s="2" t="s">
        <v>9</v>
      </c>
      <c r="D544" s="2" t="s">
        <v>148</v>
      </c>
      <c r="E544" s="2" t="s">
        <v>66</v>
      </c>
      <c r="F544" s="3">
        <v>692508.32</v>
      </c>
      <c r="G544" s="3">
        <v>839</v>
      </c>
      <c r="H544" s="3">
        <v>983</v>
      </c>
      <c r="I544" s="3" t="s">
        <v>252</v>
      </c>
      <c r="J544" s="18">
        <v>1791</v>
      </c>
      <c r="K544" s="18">
        <v>1</v>
      </c>
    </row>
    <row r="545" spans="1:11" ht="25.8" x14ac:dyDescent="0.5">
      <c r="A545" s="2">
        <v>2022</v>
      </c>
      <c r="B545" s="2" t="s">
        <v>15</v>
      </c>
      <c r="C545" s="2" t="s">
        <v>9</v>
      </c>
      <c r="D545" s="2" t="s">
        <v>206</v>
      </c>
      <c r="E545" s="2" t="s">
        <v>66</v>
      </c>
      <c r="F545" s="3">
        <v>692508.32</v>
      </c>
      <c r="G545" s="3">
        <v>210</v>
      </c>
      <c r="H545" s="3">
        <v>177</v>
      </c>
      <c r="I545" s="3" t="s">
        <v>253</v>
      </c>
      <c r="J545" s="18">
        <v>386</v>
      </c>
      <c r="K545" s="18">
        <v>1</v>
      </c>
    </row>
    <row r="546" spans="1:11" ht="25.8" x14ac:dyDescent="0.5">
      <c r="A546" s="2">
        <v>2022</v>
      </c>
      <c r="B546" s="2" t="s">
        <v>27</v>
      </c>
      <c r="C546" s="2" t="s">
        <v>9</v>
      </c>
      <c r="D546" s="2" t="s">
        <v>212</v>
      </c>
      <c r="E546" s="2" t="s">
        <v>66</v>
      </c>
      <c r="F546" s="3">
        <v>694077.43999999994</v>
      </c>
      <c r="G546" s="3">
        <v>413</v>
      </c>
      <c r="H546" s="3">
        <v>930</v>
      </c>
      <c r="I546" s="3" t="s">
        <v>254</v>
      </c>
      <c r="J546" s="18">
        <v>2151</v>
      </c>
      <c r="K546" s="18">
        <v>1</v>
      </c>
    </row>
    <row r="547" spans="1:11" ht="25.8" x14ac:dyDescent="0.5">
      <c r="A547" s="2">
        <v>2022</v>
      </c>
      <c r="B547" s="2" t="s">
        <v>54</v>
      </c>
      <c r="C547" s="2" t="s">
        <v>9</v>
      </c>
      <c r="D547" s="2" t="s">
        <v>149</v>
      </c>
      <c r="E547" s="2" t="s">
        <v>17</v>
      </c>
      <c r="F547" s="3">
        <v>697089.12</v>
      </c>
      <c r="G547" s="3">
        <v>795</v>
      </c>
      <c r="H547" s="3">
        <v>469</v>
      </c>
      <c r="I547" s="3" t="s">
        <v>255</v>
      </c>
      <c r="J547" s="18">
        <v>955</v>
      </c>
      <c r="K547" s="18">
        <v>1</v>
      </c>
    </row>
    <row r="548" spans="1:11" ht="25.8" x14ac:dyDescent="0.5">
      <c r="A548" s="2">
        <v>2022</v>
      </c>
      <c r="B548" s="2" t="s">
        <v>50</v>
      </c>
      <c r="C548" s="2" t="s">
        <v>9</v>
      </c>
      <c r="D548" s="2" t="s">
        <v>150</v>
      </c>
      <c r="E548" s="2" t="s">
        <v>26</v>
      </c>
      <c r="F548" s="3">
        <v>701037.12</v>
      </c>
      <c r="G548" s="3">
        <v>610</v>
      </c>
      <c r="H548" s="3">
        <v>970</v>
      </c>
      <c r="I548" s="3" t="s">
        <v>256</v>
      </c>
      <c r="J548" s="18">
        <v>1596</v>
      </c>
      <c r="K548" s="18">
        <v>1</v>
      </c>
    </row>
    <row r="549" spans="1:11" ht="25.8" x14ac:dyDescent="0.5">
      <c r="A549" s="2">
        <v>2022</v>
      </c>
      <c r="B549" s="2" t="s">
        <v>23</v>
      </c>
      <c r="C549" s="2" t="s">
        <v>9</v>
      </c>
      <c r="D549" s="2" t="s">
        <v>214</v>
      </c>
      <c r="E549" s="2" t="s">
        <v>17</v>
      </c>
      <c r="F549" s="3">
        <v>704532.64</v>
      </c>
      <c r="G549" s="3">
        <v>168</v>
      </c>
      <c r="H549" s="3">
        <v>97</v>
      </c>
      <c r="I549" s="3" t="s">
        <v>257</v>
      </c>
      <c r="J549" s="18">
        <v>112</v>
      </c>
      <c r="K549" s="18">
        <v>1</v>
      </c>
    </row>
    <row r="550" spans="1:11" ht="25.8" x14ac:dyDescent="0.5">
      <c r="A550" s="2">
        <v>2022</v>
      </c>
      <c r="B550" s="2" t="s">
        <v>12</v>
      </c>
      <c r="C550" s="2" t="s">
        <v>9</v>
      </c>
      <c r="D550" s="2" t="s">
        <v>151</v>
      </c>
      <c r="E550" s="2" t="s">
        <v>35</v>
      </c>
      <c r="F550" s="3">
        <v>706171.2</v>
      </c>
      <c r="G550" s="3">
        <v>168</v>
      </c>
      <c r="H550" s="3">
        <v>97</v>
      </c>
      <c r="I550" s="3" t="s">
        <v>258</v>
      </c>
      <c r="J550" s="18">
        <v>115</v>
      </c>
      <c r="K550" s="18">
        <v>1</v>
      </c>
    </row>
    <row r="551" spans="1:11" ht="25.8" x14ac:dyDescent="0.5">
      <c r="A551" s="2">
        <v>2022</v>
      </c>
      <c r="B551" s="2" t="s">
        <v>59</v>
      </c>
      <c r="C551" s="2" t="s">
        <v>9</v>
      </c>
      <c r="D551" s="2" t="s">
        <v>89</v>
      </c>
      <c r="E551" s="2" t="s">
        <v>35</v>
      </c>
      <c r="F551" s="3">
        <v>706171.2</v>
      </c>
      <c r="G551" s="3">
        <v>312</v>
      </c>
      <c r="H551" s="3">
        <v>983</v>
      </c>
      <c r="I551" s="3" t="s">
        <v>259</v>
      </c>
      <c r="J551" s="18">
        <v>1752</v>
      </c>
      <c r="K551" s="18">
        <v>1</v>
      </c>
    </row>
    <row r="552" spans="1:11" ht="25.8" x14ac:dyDescent="0.5">
      <c r="A552" s="2">
        <v>2022</v>
      </c>
      <c r="B552" s="2" t="s">
        <v>18</v>
      </c>
      <c r="C552" s="2" t="s">
        <v>9</v>
      </c>
      <c r="D552" s="2" t="s">
        <v>154</v>
      </c>
      <c r="E552" s="2" t="s">
        <v>17</v>
      </c>
      <c r="F552" s="3">
        <v>712968.48</v>
      </c>
      <c r="G552" s="3">
        <v>795</v>
      </c>
      <c r="H552" s="3">
        <v>469</v>
      </c>
      <c r="I552" s="3" t="s">
        <v>260</v>
      </c>
      <c r="J552" s="18">
        <v>594</v>
      </c>
      <c r="K552" s="18">
        <v>1</v>
      </c>
    </row>
    <row r="553" spans="1:11" ht="25.8" x14ac:dyDescent="0.5">
      <c r="A553" s="2">
        <v>2022</v>
      </c>
      <c r="B553" s="2" t="s">
        <v>12</v>
      </c>
      <c r="C553" s="2" t="s">
        <v>9</v>
      </c>
      <c r="D553" s="2" t="s">
        <v>155</v>
      </c>
      <c r="E553" s="2" t="s">
        <v>20</v>
      </c>
      <c r="F553" s="3">
        <v>748492.64</v>
      </c>
      <c r="G553" s="3">
        <v>403</v>
      </c>
      <c r="H553" s="3">
        <v>953</v>
      </c>
      <c r="I553" s="3" t="s">
        <v>261</v>
      </c>
      <c r="J553" s="18">
        <v>1778</v>
      </c>
      <c r="K553" s="18">
        <v>1</v>
      </c>
    </row>
    <row r="554" spans="1:11" ht="25.8" x14ac:dyDescent="0.5">
      <c r="A554" s="2">
        <v>2022</v>
      </c>
      <c r="B554" s="2" t="s">
        <v>18</v>
      </c>
      <c r="C554" s="2" t="s">
        <v>9</v>
      </c>
      <c r="D554" s="2" t="s">
        <v>184</v>
      </c>
      <c r="E554" s="2" t="s">
        <v>22</v>
      </c>
      <c r="F554" s="3">
        <v>764721.44</v>
      </c>
      <c r="G554" s="3">
        <v>168</v>
      </c>
      <c r="H554" s="3">
        <v>97</v>
      </c>
      <c r="I554" s="3" t="s">
        <v>250</v>
      </c>
      <c r="J554" s="18">
        <v>136</v>
      </c>
      <c r="K554" s="18">
        <v>1</v>
      </c>
    </row>
    <row r="555" spans="1:11" ht="25.8" x14ac:dyDescent="0.5">
      <c r="A555" s="2">
        <v>2022</v>
      </c>
      <c r="B555" s="2" t="s">
        <v>12</v>
      </c>
      <c r="C555" s="2" t="s">
        <v>9</v>
      </c>
      <c r="D555" s="2" t="s">
        <v>156</v>
      </c>
      <c r="E555" s="2" t="s">
        <v>20</v>
      </c>
      <c r="F555" s="3">
        <v>781448.64</v>
      </c>
      <c r="G555" s="3">
        <v>403</v>
      </c>
      <c r="H555" s="3">
        <v>953</v>
      </c>
      <c r="I555" s="3" t="s">
        <v>251</v>
      </c>
      <c r="J555" s="18">
        <v>1433</v>
      </c>
      <c r="K555" s="18">
        <v>1</v>
      </c>
    </row>
    <row r="556" spans="1:11" ht="25.8" x14ac:dyDescent="0.5">
      <c r="A556" s="2">
        <v>2022</v>
      </c>
      <c r="B556" s="2" t="s">
        <v>18</v>
      </c>
      <c r="C556" s="2" t="s">
        <v>9</v>
      </c>
      <c r="D556" s="2" t="s">
        <v>124</v>
      </c>
      <c r="E556" s="2" t="s">
        <v>17</v>
      </c>
      <c r="F556" s="3">
        <v>786367.67999999993</v>
      </c>
      <c r="G556" s="3">
        <v>839</v>
      </c>
      <c r="H556" s="3">
        <v>983</v>
      </c>
      <c r="I556" s="3" t="s">
        <v>252</v>
      </c>
      <c r="J556" s="18">
        <v>2151</v>
      </c>
      <c r="K556" s="18">
        <v>1</v>
      </c>
    </row>
    <row r="557" spans="1:11" ht="25.8" x14ac:dyDescent="0.5">
      <c r="A557" s="2">
        <v>2022</v>
      </c>
      <c r="B557" s="2" t="s">
        <v>29</v>
      </c>
      <c r="C557" s="2" t="s">
        <v>9</v>
      </c>
      <c r="D557" s="2" t="s">
        <v>157</v>
      </c>
      <c r="E557" s="2" t="s">
        <v>38</v>
      </c>
      <c r="F557" s="3">
        <v>786367.67999999993</v>
      </c>
      <c r="G557" s="3">
        <v>168</v>
      </c>
      <c r="H557" s="3">
        <v>97</v>
      </c>
      <c r="I557" s="3" t="s">
        <v>253</v>
      </c>
      <c r="J557" s="18">
        <v>173</v>
      </c>
      <c r="K557" s="18">
        <v>1</v>
      </c>
    </row>
    <row r="558" spans="1:11" ht="25.8" x14ac:dyDescent="0.5">
      <c r="A558" s="2">
        <v>2022</v>
      </c>
      <c r="B558" s="2" t="s">
        <v>54</v>
      </c>
      <c r="C558" s="2" t="s">
        <v>9</v>
      </c>
      <c r="D558" s="2" t="s">
        <v>43</v>
      </c>
      <c r="E558" s="2" t="s">
        <v>26</v>
      </c>
      <c r="F558" s="3">
        <v>801894.24</v>
      </c>
      <c r="G558" s="3">
        <v>610</v>
      </c>
      <c r="H558" s="3">
        <v>970</v>
      </c>
      <c r="I558" s="3" t="s">
        <v>254</v>
      </c>
      <c r="J558" s="18">
        <v>1850</v>
      </c>
      <c r="K558" s="18">
        <v>1</v>
      </c>
    </row>
    <row r="559" spans="1:11" ht="25.8" x14ac:dyDescent="0.5">
      <c r="A559" s="2">
        <v>2022</v>
      </c>
      <c r="B559" s="2" t="s">
        <v>18</v>
      </c>
      <c r="C559" s="2" t="s">
        <v>9</v>
      </c>
      <c r="D559" s="2" t="s">
        <v>196</v>
      </c>
      <c r="E559" s="2" t="s">
        <v>22</v>
      </c>
      <c r="F559" s="3">
        <v>801894.24</v>
      </c>
      <c r="G559" s="3">
        <v>692</v>
      </c>
      <c r="H559" s="3">
        <v>300</v>
      </c>
      <c r="I559" s="3" t="s">
        <v>255</v>
      </c>
      <c r="J559" s="18">
        <v>609</v>
      </c>
      <c r="K559" s="18">
        <v>1</v>
      </c>
    </row>
    <row r="560" spans="1:11" ht="25.8" x14ac:dyDescent="0.5">
      <c r="A560" s="2">
        <v>2022</v>
      </c>
      <c r="B560" s="2" t="s">
        <v>59</v>
      </c>
      <c r="C560" s="2" t="s">
        <v>9</v>
      </c>
      <c r="D560" s="2" t="s">
        <v>208</v>
      </c>
      <c r="E560" s="2" t="s">
        <v>22</v>
      </c>
      <c r="F560" s="3">
        <v>801894.24</v>
      </c>
      <c r="G560" s="3">
        <v>93</v>
      </c>
      <c r="H560" s="3">
        <v>852</v>
      </c>
      <c r="I560" s="3" t="s">
        <v>256</v>
      </c>
      <c r="J560" s="18">
        <v>1364</v>
      </c>
      <c r="K560" s="18">
        <v>1</v>
      </c>
    </row>
    <row r="561" spans="1:11" ht="25.8" x14ac:dyDescent="0.5">
      <c r="A561" s="2">
        <v>2022</v>
      </c>
      <c r="B561" s="2" t="s">
        <v>29</v>
      </c>
      <c r="C561" s="2" t="s">
        <v>9</v>
      </c>
      <c r="D561" s="2" t="s">
        <v>203</v>
      </c>
      <c r="E561" s="2" t="s">
        <v>14</v>
      </c>
      <c r="F561" s="3">
        <v>801894.24</v>
      </c>
      <c r="G561" s="3">
        <v>610</v>
      </c>
      <c r="H561" s="3">
        <v>970</v>
      </c>
      <c r="I561" s="3" t="s">
        <v>257</v>
      </c>
      <c r="J561" s="18">
        <v>1391</v>
      </c>
      <c r="K561" s="18">
        <v>1</v>
      </c>
    </row>
    <row r="562" spans="1:11" ht="25.8" x14ac:dyDescent="0.5">
      <c r="A562" s="2">
        <v>2022</v>
      </c>
      <c r="B562" s="2" t="s">
        <v>54</v>
      </c>
      <c r="C562" s="2" t="s">
        <v>9</v>
      </c>
      <c r="D562" s="2" t="s">
        <v>160</v>
      </c>
      <c r="E562" s="2" t="s">
        <v>26</v>
      </c>
      <c r="F562" s="3">
        <v>814604</v>
      </c>
      <c r="G562" s="3">
        <v>403</v>
      </c>
      <c r="H562" s="3">
        <v>953</v>
      </c>
      <c r="I562" s="3" t="s">
        <v>258</v>
      </c>
      <c r="J562" s="18">
        <v>1446</v>
      </c>
      <c r="K562" s="18">
        <v>1</v>
      </c>
    </row>
    <row r="563" spans="1:11" ht="25.8" x14ac:dyDescent="0.5">
      <c r="A563" s="2">
        <v>2022</v>
      </c>
      <c r="B563" s="2" t="s">
        <v>50</v>
      </c>
      <c r="C563" s="2" t="s">
        <v>9</v>
      </c>
      <c r="D563" s="2" t="s">
        <v>218</v>
      </c>
      <c r="E563" s="2" t="s">
        <v>35</v>
      </c>
      <c r="F563" s="3">
        <v>815366.72</v>
      </c>
      <c r="G563" s="3">
        <v>784</v>
      </c>
      <c r="H563" s="3">
        <v>540</v>
      </c>
      <c r="I563" s="3" t="s">
        <v>259</v>
      </c>
      <c r="J563" s="18">
        <v>871</v>
      </c>
      <c r="K563" s="18">
        <v>1</v>
      </c>
    </row>
    <row r="564" spans="1:11" ht="25.8" x14ac:dyDescent="0.5">
      <c r="A564" s="2">
        <v>2022</v>
      </c>
      <c r="B564" s="2" t="s">
        <v>18</v>
      </c>
      <c r="C564" s="2" t="s">
        <v>9</v>
      </c>
      <c r="D564" s="2" t="s">
        <v>161</v>
      </c>
      <c r="E564" s="2" t="s">
        <v>14</v>
      </c>
      <c r="F564" s="3">
        <v>815624.32</v>
      </c>
      <c r="G564" s="3">
        <v>568</v>
      </c>
      <c r="H564" s="3">
        <v>505</v>
      </c>
      <c r="I564" s="3" t="s">
        <v>260</v>
      </c>
      <c r="J564" s="18">
        <v>1206</v>
      </c>
      <c r="K564" s="18">
        <v>1</v>
      </c>
    </row>
    <row r="565" spans="1:11" ht="25.8" x14ac:dyDescent="0.5">
      <c r="A565" s="2">
        <v>2022</v>
      </c>
      <c r="B565" s="2" t="s">
        <v>54</v>
      </c>
      <c r="C565" s="2" t="s">
        <v>9</v>
      </c>
      <c r="D565" s="2" t="s">
        <v>162</v>
      </c>
      <c r="E565" s="2" t="s">
        <v>26</v>
      </c>
      <c r="F565" s="3">
        <v>816850.72</v>
      </c>
      <c r="G565" s="3">
        <v>312</v>
      </c>
      <c r="H565" s="3">
        <v>983</v>
      </c>
      <c r="I565" s="3" t="s">
        <v>261</v>
      </c>
      <c r="J565" s="18">
        <v>1381</v>
      </c>
      <c r="K565" s="18">
        <v>1</v>
      </c>
    </row>
    <row r="566" spans="1:11" ht="25.8" x14ac:dyDescent="0.5">
      <c r="A566" s="2">
        <v>2022</v>
      </c>
      <c r="B566" s="2" t="s">
        <v>23</v>
      </c>
      <c r="C566" s="2" t="s">
        <v>9</v>
      </c>
      <c r="D566" s="2" t="s">
        <v>221</v>
      </c>
      <c r="E566" s="2" t="s">
        <v>17</v>
      </c>
      <c r="F566" s="3">
        <v>819636.16</v>
      </c>
      <c r="G566" s="3">
        <v>210</v>
      </c>
      <c r="H566" s="3">
        <v>177</v>
      </c>
      <c r="I566" s="3" t="s">
        <v>250</v>
      </c>
      <c r="J566" s="18">
        <v>382</v>
      </c>
      <c r="K566" s="18">
        <v>1</v>
      </c>
    </row>
    <row r="567" spans="1:11" ht="25.8" x14ac:dyDescent="0.5">
      <c r="A567" s="2">
        <v>2022</v>
      </c>
      <c r="B567" s="2" t="s">
        <v>15</v>
      </c>
      <c r="C567" s="2" t="s">
        <v>9</v>
      </c>
      <c r="D567" s="2" t="s">
        <v>182</v>
      </c>
      <c r="E567" s="2" t="s">
        <v>38</v>
      </c>
      <c r="F567" s="3">
        <v>819636.16</v>
      </c>
      <c r="G567" s="3">
        <v>287</v>
      </c>
      <c r="H567" s="3">
        <v>744</v>
      </c>
      <c r="I567" s="3" t="s">
        <v>251</v>
      </c>
      <c r="J567" s="18">
        <v>1710</v>
      </c>
      <c r="K567" s="18">
        <v>1</v>
      </c>
    </row>
    <row r="568" spans="1:11" ht="25.8" x14ac:dyDescent="0.5">
      <c r="A568" s="2">
        <v>2022</v>
      </c>
      <c r="B568" s="2" t="s">
        <v>50</v>
      </c>
      <c r="C568" s="2" t="s">
        <v>9</v>
      </c>
      <c r="D568" s="2" t="s">
        <v>200</v>
      </c>
      <c r="E568" s="2" t="s">
        <v>38</v>
      </c>
      <c r="F568" s="3">
        <v>819636.16</v>
      </c>
      <c r="G568" s="3">
        <v>839</v>
      </c>
      <c r="H568" s="3">
        <v>334</v>
      </c>
      <c r="I568" s="3" t="s">
        <v>252</v>
      </c>
      <c r="J568" s="18">
        <v>483</v>
      </c>
      <c r="K568" s="18">
        <v>1</v>
      </c>
    </row>
    <row r="569" spans="1:11" ht="25.8" x14ac:dyDescent="0.5">
      <c r="A569" s="2">
        <v>2022</v>
      </c>
      <c r="B569" s="2" t="s">
        <v>50</v>
      </c>
      <c r="C569" s="2" t="s">
        <v>9</v>
      </c>
      <c r="D569" s="2" t="s">
        <v>165</v>
      </c>
      <c r="E569" s="2" t="s">
        <v>26</v>
      </c>
      <c r="F569" s="3">
        <v>828244.47999999998</v>
      </c>
      <c r="G569" s="3">
        <v>210</v>
      </c>
      <c r="H569" s="3">
        <v>177</v>
      </c>
      <c r="I569" s="3" t="s">
        <v>253</v>
      </c>
      <c r="J569" s="18">
        <v>419</v>
      </c>
      <c r="K569" s="18">
        <v>1</v>
      </c>
    </row>
    <row r="570" spans="1:11" ht="25.8" x14ac:dyDescent="0.5">
      <c r="A570" s="2">
        <v>2022</v>
      </c>
      <c r="B570" s="2" t="s">
        <v>18</v>
      </c>
      <c r="C570" s="2" t="s">
        <v>9</v>
      </c>
      <c r="D570" s="2" t="s">
        <v>201</v>
      </c>
      <c r="E570" s="2" t="s">
        <v>22</v>
      </c>
      <c r="F570" s="3">
        <v>836894.24</v>
      </c>
      <c r="G570" s="3">
        <v>968</v>
      </c>
      <c r="H570" s="3">
        <v>330</v>
      </c>
      <c r="I570" s="3" t="s">
        <v>254</v>
      </c>
      <c r="J570" s="18">
        <v>710</v>
      </c>
      <c r="K570" s="18">
        <v>1</v>
      </c>
    </row>
    <row r="571" spans="1:11" ht="25.8" x14ac:dyDescent="0.5">
      <c r="A571" s="2">
        <v>2022</v>
      </c>
      <c r="B571" s="2" t="s">
        <v>50</v>
      </c>
      <c r="C571" s="2" t="s">
        <v>9</v>
      </c>
      <c r="D571" s="2" t="s">
        <v>207</v>
      </c>
      <c r="E571" s="2" t="s">
        <v>20</v>
      </c>
      <c r="F571" s="3">
        <v>836894.24</v>
      </c>
      <c r="G571" s="3">
        <v>839</v>
      </c>
      <c r="H571" s="3">
        <v>334</v>
      </c>
      <c r="I571" s="3" t="s">
        <v>255</v>
      </c>
      <c r="J571" s="18">
        <v>821</v>
      </c>
      <c r="K571" s="18">
        <v>1</v>
      </c>
    </row>
    <row r="572" spans="1:11" ht="25.8" x14ac:dyDescent="0.5">
      <c r="A572" s="2">
        <v>2022</v>
      </c>
      <c r="B572" s="2" t="s">
        <v>12</v>
      </c>
      <c r="C572" s="2" t="s">
        <v>9</v>
      </c>
      <c r="D572" s="2" t="s">
        <v>166</v>
      </c>
      <c r="E572" s="2" t="s">
        <v>35</v>
      </c>
      <c r="F572" s="3">
        <v>837550.56</v>
      </c>
      <c r="G572" s="3">
        <v>872</v>
      </c>
      <c r="H572" s="3">
        <v>249</v>
      </c>
      <c r="I572" s="3" t="s">
        <v>256</v>
      </c>
      <c r="J572" s="18">
        <v>416</v>
      </c>
      <c r="K572" s="18">
        <v>1</v>
      </c>
    </row>
    <row r="573" spans="1:11" ht="25.8" x14ac:dyDescent="0.5">
      <c r="A573" s="2">
        <v>2022</v>
      </c>
      <c r="B573" s="2" t="s">
        <v>8</v>
      </c>
      <c r="C573" s="2" t="s">
        <v>9</v>
      </c>
      <c r="D573" s="2" t="s">
        <v>168</v>
      </c>
      <c r="E573" s="2" t="s">
        <v>22</v>
      </c>
      <c r="F573" s="3">
        <v>878315.2</v>
      </c>
      <c r="G573" s="3">
        <v>93</v>
      </c>
      <c r="H573" s="3">
        <v>852</v>
      </c>
      <c r="I573" s="3" t="s">
        <v>257</v>
      </c>
      <c r="J573" s="18">
        <v>1500</v>
      </c>
      <c r="K573" s="18">
        <v>1</v>
      </c>
    </row>
    <row r="574" spans="1:11" ht="25.8" x14ac:dyDescent="0.5">
      <c r="A574" s="2">
        <v>2022</v>
      </c>
      <c r="B574" s="2" t="s">
        <v>50</v>
      </c>
      <c r="C574" s="2" t="s">
        <v>9</v>
      </c>
      <c r="D574" s="2" t="s">
        <v>169</v>
      </c>
      <c r="E574" s="2" t="s">
        <v>22</v>
      </c>
      <c r="F574" s="3">
        <v>883137.92</v>
      </c>
      <c r="G574" s="3">
        <v>968</v>
      </c>
      <c r="H574" s="3">
        <v>330</v>
      </c>
      <c r="I574" s="3" t="s">
        <v>258</v>
      </c>
      <c r="J574" s="18">
        <v>594</v>
      </c>
      <c r="K574" s="18">
        <v>1</v>
      </c>
    </row>
    <row r="575" spans="1:11" ht="25.8" x14ac:dyDescent="0.5">
      <c r="A575" s="2">
        <v>2022</v>
      </c>
      <c r="B575" s="2" t="s">
        <v>12</v>
      </c>
      <c r="C575" s="2" t="s">
        <v>9</v>
      </c>
      <c r="D575" s="2" t="s">
        <v>111</v>
      </c>
      <c r="E575" s="2" t="s">
        <v>66</v>
      </c>
      <c r="F575" s="3">
        <v>883137.92</v>
      </c>
      <c r="G575" s="3">
        <v>839</v>
      </c>
      <c r="H575" s="3">
        <v>334</v>
      </c>
      <c r="I575" s="3" t="s">
        <v>259</v>
      </c>
      <c r="J575" s="18">
        <v>584</v>
      </c>
      <c r="K575" s="18">
        <v>1</v>
      </c>
    </row>
    <row r="576" spans="1:11" ht="25.8" x14ac:dyDescent="0.5">
      <c r="A576" s="2">
        <v>2022</v>
      </c>
      <c r="B576" s="2" t="s">
        <v>50</v>
      </c>
      <c r="C576" s="2" t="s">
        <v>9</v>
      </c>
      <c r="D576" s="2" t="s">
        <v>189</v>
      </c>
      <c r="E576" s="2" t="s">
        <v>35</v>
      </c>
      <c r="F576" s="3">
        <v>905044</v>
      </c>
      <c r="G576" s="3">
        <v>413</v>
      </c>
      <c r="H576" s="3">
        <v>930</v>
      </c>
      <c r="I576" s="3" t="s">
        <v>260</v>
      </c>
      <c r="J576" s="18">
        <v>2006</v>
      </c>
      <c r="K576" s="18">
        <v>1</v>
      </c>
    </row>
    <row r="577" spans="1:11" ht="25.8" x14ac:dyDescent="0.5">
      <c r="A577" s="2">
        <v>2022</v>
      </c>
      <c r="B577" s="2" t="s">
        <v>18</v>
      </c>
      <c r="C577" s="2" t="s">
        <v>9</v>
      </c>
      <c r="D577" s="2" t="s">
        <v>171</v>
      </c>
      <c r="E577" s="2" t="s">
        <v>14</v>
      </c>
      <c r="F577" s="3">
        <v>907140.64</v>
      </c>
      <c r="G577" s="3">
        <v>168</v>
      </c>
      <c r="H577" s="3">
        <v>97</v>
      </c>
      <c r="I577" s="3" t="s">
        <v>261</v>
      </c>
      <c r="J577" s="18">
        <v>151</v>
      </c>
      <c r="K577" s="18">
        <v>1</v>
      </c>
    </row>
    <row r="578" spans="1:11" ht="25.8" x14ac:dyDescent="0.5">
      <c r="A578" s="2">
        <v>2022</v>
      </c>
      <c r="B578" s="2" t="s">
        <v>54</v>
      </c>
      <c r="C578" s="2" t="s">
        <v>9</v>
      </c>
      <c r="D578" s="2" t="s">
        <v>173</v>
      </c>
      <c r="E578" s="2" t="s">
        <v>35</v>
      </c>
      <c r="F578" s="3">
        <v>907777.92</v>
      </c>
      <c r="G578" s="3">
        <v>403</v>
      </c>
      <c r="H578" s="3">
        <v>953</v>
      </c>
      <c r="I578" s="3" t="s">
        <v>250</v>
      </c>
      <c r="J578" s="18">
        <v>1467</v>
      </c>
      <c r="K578" s="18">
        <v>1</v>
      </c>
    </row>
    <row r="579" spans="1:11" ht="25.8" x14ac:dyDescent="0.5">
      <c r="A579" s="2">
        <v>2022</v>
      </c>
      <c r="B579" s="2" t="s">
        <v>54</v>
      </c>
      <c r="C579" s="2" t="s">
        <v>9</v>
      </c>
      <c r="D579" s="2" t="s">
        <v>24</v>
      </c>
      <c r="E579" s="2" t="s">
        <v>35</v>
      </c>
      <c r="F579" s="3">
        <v>911080.8</v>
      </c>
      <c r="G579" s="3">
        <v>577</v>
      </c>
      <c r="H579" s="3">
        <v>175</v>
      </c>
      <c r="I579" s="3" t="s">
        <v>251</v>
      </c>
      <c r="J579" s="18">
        <v>280</v>
      </c>
      <c r="K579" s="18">
        <v>1</v>
      </c>
    </row>
    <row r="580" spans="1:11" ht="25.8" x14ac:dyDescent="0.5">
      <c r="A580" s="2">
        <v>2022</v>
      </c>
      <c r="B580" s="2" t="s">
        <v>50</v>
      </c>
      <c r="C580" s="2" t="s">
        <v>232</v>
      </c>
      <c r="D580" s="2" t="s">
        <v>170</v>
      </c>
      <c r="E580" s="2" t="s">
        <v>20</v>
      </c>
      <c r="F580" s="3">
        <v>925289.12</v>
      </c>
      <c r="G580" s="3">
        <v>839</v>
      </c>
      <c r="H580" s="3">
        <v>334</v>
      </c>
      <c r="I580" s="3" t="s">
        <v>252</v>
      </c>
      <c r="J580" s="18">
        <v>789</v>
      </c>
      <c r="K580" s="18">
        <v>1</v>
      </c>
    </row>
    <row r="581" spans="1:11" ht="25.8" x14ac:dyDescent="0.5">
      <c r="A581" s="2">
        <v>2022</v>
      </c>
      <c r="B581" s="2" t="s">
        <v>50</v>
      </c>
      <c r="C581" s="2" t="s">
        <v>229</v>
      </c>
      <c r="D581" s="2" t="s">
        <v>82</v>
      </c>
      <c r="E581" s="2" t="s">
        <v>26</v>
      </c>
      <c r="F581" s="3">
        <v>928877.6</v>
      </c>
      <c r="G581" s="3">
        <v>210</v>
      </c>
      <c r="H581" s="3">
        <v>177</v>
      </c>
      <c r="I581" s="3" t="s">
        <v>253</v>
      </c>
      <c r="J581" s="18">
        <v>397</v>
      </c>
      <c r="K581" s="18">
        <v>1</v>
      </c>
    </row>
    <row r="582" spans="1:11" ht="25.8" x14ac:dyDescent="0.5">
      <c r="A582" s="2">
        <v>2022</v>
      </c>
      <c r="B582" s="2" t="s">
        <v>27</v>
      </c>
      <c r="C582" s="2" t="s">
        <v>9</v>
      </c>
      <c r="D582" s="2" t="s">
        <v>133</v>
      </c>
      <c r="E582" s="2" t="s">
        <v>20</v>
      </c>
      <c r="F582" s="3">
        <v>935664.8</v>
      </c>
      <c r="G582" s="3">
        <v>93</v>
      </c>
      <c r="H582" s="3">
        <v>852</v>
      </c>
      <c r="I582" s="3" t="s">
        <v>254</v>
      </c>
      <c r="J582" s="18">
        <v>961</v>
      </c>
      <c r="K582" s="18">
        <v>1</v>
      </c>
    </row>
    <row r="583" spans="1:11" ht="25.8" x14ac:dyDescent="0.5">
      <c r="A583" s="2">
        <v>2022</v>
      </c>
      <c r="B583" s="2" t="s">
        <v>23</v>
      </c>
      <c r="C583" s="2" t="s">
        <v>228</v>
      </c>
      <c r="D583" s="2" t="s">
        <v>159</v>
      </c>
      <c r="E583" s="2" t="s">
        <v>17</v>
      </c>
      <c r="F583" s="3">
        <v>937183.52</v>
      </c>
      <c r="G583" s="3">
        <v>312</v>
      </c>
      <c r="H583" s="3">
        <v>983</v>
      </c>
      <c r="I583" s="3" t="s">
        <v>255</v>
      </c>
      <c r="J583" s="18">
        <v>2104</v>
      </c>
      <c r="K583" s="18">
        <v>1</v>
      </c>
    </row>
    <row r="584" spans="1:11" ht="25.8" x14ac:dyDescent="0.5">
      <c r="A584" s="2">
        <v>2022</v>
      </c>
      <c r="B584" s="2" t="s">
        <v>18</v>
      </c>
      <c r="C584" s="2" t="s">
        <v>9</v>
      </c>
      <c r="D584" s="2" t="s">
        <v>142</v>
      </c>
      <c r="E584" s="2" t="s">
        <v>17</v>
      </c>
      <c r="F584" s="3">
        <v>941072.16</v>
      </c>
      <c r="G584" s="3">
        <v>597</v>
      </c>
      <c r="H584" s="3">
        <v>287</v>
      </c>
      <c r="I584" s="3" t="s">
        <v>256</v>
      </c>
      <c r="J584" s="18">
        <v>606</v>
      </c>
      <c r="K584" s="18">
        <v>1</v>
      </c>
    </row>
    <row r="585" spans="1:11" ht="25.8" x14ac:dyDescent="0.5">
      <c r="A585" s="2">
        <v>2022</v>
      </c>
      <c r="B585" s="2" t="s">
        <v>50</v>
      </c>
      <c r="C585" s="2" t="s">
        <v>9</v>
      </c>
      <c r="D585" s="2" t="s">
        <v>113</v>
      </c>
      <c r="E585" s="2" t="s">
        <v>26</v>
      </c>
      <c r="F585" s="3">
        <v>951972</v>
      </c>
      <c r="G585" s="3">
        <v>287</v>
      </c>
      <c r="H585" s="3">
        <v>744</v>
      </c>
      <c r="I585" s="3" t="s">
        <v>257</v>
      </c>
      <c r="J585" s="18">
        <v>1597</v>
      </c>
      <c r="K585" s="18">
        <v>1</v>
      </c>
    </row>
    <row r="586" spans="1:11" ht="25.8" x14ac:dyDescent="0.5">
      <c r="A586" s="2">
        <v>2022</v>
      </c>
      <c r="B586" s="2" t="s">
        <v>12</v>
      </c>
      <c r="C586" s="2" t="s">
        <v>9</v>
      </c>
      <c r="D586" s="2" t="s">
        <v>163</v>
      </c>
      <c r="E586" s="2" t="s">
        <v>17</v>
      </c>
      <c r="F586" s="3">
        <v>954561.44</v>
      </c>
      <c r="G586" s="3">
        <v>287</v>
      </c>
      <c r="H586" s="3">
        <v>744</v>
      </c>
      <c r="I586" s="3" t="s">
        <v>258</v>
      </c>
      <c r="J586" s="18">
        <v>1451</v>
      </c>
      <c r="K586" s="18">
        <v>1</v>
      </c>
    </row>
    <row r="587" spans="1:11" ht="25.8" x14ac:dyDescent="0.5">
      <c r="A587" s="2">
        <v>2022</v>
      </c>
      <c r="B587" s="2" t="s">
        <v>8</v>
      </c>
      <c r="C587" s="2" t="s">
        <v>9</v>
      </c>
      <c r="D587" s="2" t="s">
        <v>106</v>
      </c>
      <c r="E587" s="2" t="s">
        <v>22</v>
      </c>
      <c r="F587" s="3">
        <v>964759.04000000004</v>
      </c>
      <c r="G587" s="3">
        <v>93</v>
      </c>
      <c r="H587" s="3">
        <v>852</v>
      </c>
      <c r="I587" s="3" t="s">
        <v>259</v>
      </c>
      <c r="J587" s="18">
        <v>1527</v>
      </c>
      <c r="K587" s="18">
        <v>1</v>
      </c>
    </row>
    <row r="588" spans="1:11" ht="25.8" x14ac:dyDescent="0.5">
      <c r="A588" s="2">
        <v>2022</v>
      </c>
      <c r="B588" s="2" t="s">
        <v>15</v>
      </c>
      <c r="C588" s="2" t="s">
        <v>9</v>
      </c>
      <c r="D588" s="2" t="s">
        <v>72</v>
      </c>
      <c r="E588" s="2" t="s">
        <v>38</v>
      </c>
      <c r="F588" s="3">
        <v>972447.84</v>
      </c>
      <c r="G588" s="3">
        <v>287</v>
      </c>
      <c r="H588" s="3">
        <v>744</v>
      </c>
      <c r="I588" s="3" t="s">
        <v>260</v>
      </c>
      <c r="J588" s="18">
        <v>1332</v>
      </c>
      <c r="K588" s="18">
        <v>1</v>
      </c>
    </row>
    <row r="589" spans="1:11" ht="25.8" x14ac:dyDescent="0.5">
      <c r="A589" s="2">
        <v>2022</v>
      </c>
      <c r="B589" s="2" t="s">
        <v>50</v>
      </c>
      <c r="C589" s="2" t="s">
        <v>9</v>
      </c>
      <c r="D589" s="2" t="s">
        <v>176</v>
      </c>
      <c r="E589" s="2" t="s">
        <v>35</v>
      </c>
      <c r="F589" s="3">
        <v>972776</v>
      </c>
      <c r="G589" s="3">
        <v>93</v>
      </c>
      <c r="H589" s="3">
        <v>852</v>
      </c>
      <c r="I589" s="3" t="s">
        <v>261</v>
      </c>
      <c r="J589" s="18">
        <v>1093</v>
      </c>
      <c r="K589" s="18">
        <v>1</v>
      </c>
    </row>
    <row r="590" spans="1:11" ht="25.8" x14ac:dyDescent="0.5">
      <c r="A590" s="2">
        <v>2022</v>
      </c>
      <c r="B590" s="2" t="s">
        <v>29</v>
      </c>
      <c r="C590" s="2" t="s">
        <v>9</v>
      </c>
      <c r="D590" s="2" t="s">
        <v>147</v>
      </c>
      <c r="E590" s="2" t="s">
        <v>14</v>
      </c>
      <c r="F590" s="3">
        <v>972776</v>
      </c>
      <c r="G590" s="3">
        <v>568</v>
      </c>
      <c r="H590" s="3">
        <v>505</v>
      </c>
      <c r="I590" s="3" t="s">
        <v>250</v>
      </c>
      <c r="J590" s="18">
        <v>729</v>
      </c>
      <c r="K590" s="18">
        <v>1</v>
      </c>
    </row>
    <row r="591" spans="1:11" ht="25.8" x14ac:dyDescent="0.5">
      <c r="A591" s="2">
        <v>2022</v>
      </c>
      <c r="B591" s="2" t="s">
        <v>18</v>
      </c>
      <c r="C591" s="2" t="s">
        <v>9</v>
      </c>
      <c r="D591" s="2" t="s">
        <v>195</v>
      </c>
      <c r="E591" s="2" t="s">
        <v>38</v>
      </c>
      <c r="F591" s="3">
        <v>972776</v>
      </c>
      <c r="G591" s="3">
        <v>577</v>
      </c>
      <c r="H591" s="3">
        <v>175</v>
      </c>
      <c r="I591" s="3" t="s">
        <v>251</v>
      </c>
      <c r="J591" s="18">
        <v>331</v>
      </c>
      <c r="K591" s="18">
        <v>1</v>
      </c>
    </row>
    <row r="592" spans="1:11" ht="25.8" x14ac:dyDescent="0.5">
      <c r="A592" s="2">
        <v>2022</v>
      </c>
      <c r="B592" s="2" t="s">
        <v>23</v>
      </c>
      <c r="C592" s="2" t="s">
        <v>9</v>
      </c>
      <c r="D592" s="2" t="s">
        <v>158</v>
      </c>
      <c r="E592" s="2" t="s">
        <v>20</v>
      </c>
      <c r="F592" s="3">
        <v>972776</v>
      </c>
      <c r="G592" s="3">
        <v>610</v>
      </c>
      <c r="H592" s="3">
        <v>970</v>
      </c>
      <c r="I592" s="3" t="s">
        <v>252</v>
      </c>
      <c r="J592" s="18">
        <v>1505</v>
      </c>
      <c r="K592" s="18">
        <v>1</v>
      </c>
    </row>
    <row r="593" spans="1:11" ht="25.8" x14ac:dyDescent="0.5">
      <c r="A593" s="2">
        <v>2022</v>
      </c>
      <c r="B593" s="2" t="s">
        <v>12</v>
      </c>
      <c r="C593" s="2" t="s">
        <v>9</v>
      </c>
      <c r="D593" s="2" t="s">
        <v>138</v>
      </c>
      <c r="E593" s="2" t="s">
        <v>17</v>
      </c>
      <c r="F593" s="3">
        <v>973183.67999999993</v>
      </c>
      <c r="G593" s="3">
        <v>568</v>
      </c>
      <c r="H593" s="3">
        <v>505</v>
      </c>
      <c r="I593" s="3" t="s">
        <v>253</v>
      </c>
      <c r="J593" s="18">
        <v>696</v>
      </c>
      <c r="K593" s="18">
        <v>1</v>
      </c>
    </row>
    <row r="594" spans="1:11" ht="25.8" x14ac:dyDescent="0.5">
      <c r="A594" s="2">
        <v>2022</v>
      </c>
      <c r="B594" s="2" t="s">
        <v>59</v>
      </c>
      <c r="C594" s="2" t="s">
        <v>9</v>
      </c>
      <c r="D594" s="2" t="s">
        <v>130</v>
      </c>
      <c r="E594" s="2" t="s">
        <v>35</v>
      </c>
      <c r="F594" s="3">
        <v>987995.67999999993</v>
      </c>
      <c r="G594" s="3">
        <v>692</v>
      </c>
      <c r="H594" s="3">
        <v>300</v>
      </c>
      <c r="I594" s="3" t="s">
        <v>254</v>
      </c>
      <c r="J594" s="18">
        <v>544</v>
      </c>
      <c r="K594" s="18">
        <v>1</v>
      </c>
    </row>
    <row r="595" spans="1:11" ht="25.8" x14ac:dyDescent="0.5">
      <c r="A595" s="2">
        <v>2022</v>
      </c>
      <c r="B595" s="2" t="s">
        <v>12</v>
      </c>
      <c r="C595" s="2" t="s">
        <v>9</v>
      </c>
      <c r="D595" s="2" t="s">
        <v>99</v>
      </c>
      <c r="E595" s="2" t="s">
        <v>35</v>
      </c>
      <c r="F595" s="3">
        <v>1001880.32</v>
      </c>
      <c r="G595" s="3">
        <v>168</v>
      </c>
      <c r="H595" s="3">
        <v>97</v>
      </c>
      <c r="I595" s="3" t="s">
        <v>255</v>
      </c>
      <c r="J595" s="18">
        <v>208</v>
      </c>
      <c r="K595" s="18">
        <v>1</v>
      </c>
    </row>
    <row r="596" spans="1:11" ht="25.8" x14ac:dyDescent="0.5">
      <c r="A596" s="2">
        <v>2022</v>
      </c>
      <c r="B596" s="2" t="s">
        <v>29</v>
      </c>
      <c r="C596" s="2" t="s">
        <v>9</v>
      </c>
      <c r="D596" s="2" t="s">
        <v>47</v>
      </c>
      <c r="E596" s="2" t="s">
        <v>38</v>
      </c>
      <c r="F596" s="3">
        <v>1027542.88</v>
      </c>
      <c r="G596" s="3">
        <v>795</v>
      </c>
      <c r="H596" s="3">
        <v>469</v>
      </c>
      <c r="I596" s="3" t="s">
        <v>256</v>
      </c>
      <c r="J596" s="18">
        <v>918</v>
      </c>
      <c r="K596" s="18">
        <v>1</v>
      </c>
    </row>
    <row r="597" spans="1:11" ht="25.8" x14ac:dyDescent="0.5">
      <c r="A597" s="2">
        <v>2022</v>
      </c>
      <c r="B597" s="2" t="s">
        <v>29</v>
      </c>
      <c r="C597" s="2" t="s">
        <v>9</v>
      </c>
      <c r="D597" s="2" t="s">
        <v>127</v>
      </c>
      <c r="E597" s="2" t="s">
        <v>22</v>
      </c>
      <c r="F597" s="3">
        <v>1029721.28</v>
      </c>
      <c r="G597" s="3">
        <v>610</v>
      </c>
      <c r="H597" s="3">
        <v>970</v>
      </c>
      <c r="I597" s="3" t="s">
        <v>257</v>
      </c>
      <c r="J597" s="18">
        <v>1400</v>
      </c>
      <c r="K597" s="18">
        <v>1</v>
      </c>
    </row>
    <row r="598" spans="1:11" ht="25.8" x14ac:dyDescent="0.5">
      <c r="A598" s="2">
        <v>2022</v>
      </c>
      <c r="B598" s="2" t="s">
        <v>8</v>
      </c>
      <c r="C598" s="2" t="s">
        <v>9</v>
      </c>
      <c r="D598" s="2" t="s">
        <v>146</v>
      </c>
      <c r="E598" s="2" t="s">
        <v>22</v>
      </c>
      <c r="F598" s="3">
        <v>1032643.36</v>
      </c>
      <c r="G598" s="3">
        <v>692</v>
      </c>
      <c r="H598" s="3">
        <v>300</v>
      </c>
      <c r="I598" s="3" t="s">
        <v>258</v>
      </c>
      <c r="J598" s="18">
        <v>614</v>
      </c>
      <c r="K598" s="18">
        <v>1</v>
      </c>
    </row>
    <row r="599" spans="1:11" ht="25.8" x14ac:dyDescent="0.5">
      <c r="A599" s="2">
        <v>2022</v>
      </c>
      <c r="B599" s="2" t="s">
        <v>8</v>
      </c>
      <c r="C599" s="2" t="s">
        <v>9</v>
      </c>
      <c r="D599" s="2" t="s">
        <v>91</v>
      </c>
      <c r="E599" s="2" t="s">
        <v>14</v>
      </c>
      <c r="F599" s="3">
        <v>1032643.36</v>
      </c>
      <c r="G599" s="3">
        <v>968</v>
      </c>
      <c r="H599" s="3">
        <v>330</v>
      </c>
      <c r="I599" s="3" t="s">
        <v>259</v>
      </c>
      <c r="J599" s="18">
        <v>819</v>
      </c>
      <c r="K599" s="18">
        <v>1</v>
      </c>
    </row>
    <row r="600" spans="1:11" ht="25.8" x14ac:dyDescent="0.5">
      <c r="A600" s="2">
        <v>2022</v>
      </c>
      <c r="B600" s="2" t="s">
        <v>8</v>
      </c>
      <c r="C600" s="2" t="s">
        <v>230</v>
      </c>
      <c r="D600" s="2" t="s">
        <v>178</v>
      </c>
      <c r="E600" s="2" t="s">
        <v>14</v>
      </c>
      <c r="F600" s="3">
        <v>1044441.44</v>
      </c>
      <c r="G600" s="3">
        <v>839</v>
      </c>
      <c r="H600" s="3">
        <v>983</v>
      </c>
      <c r="I600" s="3" t="s">
        <v>260</v>
      </c>
      <c r="J600" s="18">
        <v>2276</v>
      </c>
      <c r="K600" s="18">
        <v>1</v>
      </c>
    </row>
    <row r="601" spans="1:11" ht="25.8" x14ac:dyDescent="0.5">
      <c r="A601" s="2">
        <v>2022</v>
      </c>
      <c r="B601" s="2" t="s">
        <v>12</v>
      </c>
      <c r="C601" s="2" t="s">
        <v>9</v>
      </c>
      <c r="D601" s="2" t="s">
        <v>180</v>
      </c>
      <c r="E601" s="2" t="s">
        <v>26</v>
      </c>
      <c r="F601" s="3">
        <v>1055253.92</v>
      </c>
      <c r="G601" s="3">
        <v>577</v>
      </c>
      <c r="H601" s="3">
        <v>175</v>
      </c>
      <c r="I601" s="3" t="s">
        <v>261</v>
      </c>
      <c r="J601" s="18">
        <v>219</v>
      </c>
      <c r="K601" s="18">
        <v>1</v>
      </c>
    </row>
    <row r="602" spans="1:11" ht="25.8" x14ac:dyDescent="0.5">
      <c r="A602" s="2">
        <v>2022</v>
      </c>
      <c r="B602" s="2" t="s">
        <v>50</v>
      </c>
      <c r="C602" s="2" t="s">
        <v>9</v>
      </c>
      <c r="D602" s="2" t="s">
        <v>181</v>
      </c>
      <c r="E602" s="2" t="s">
        <v>22</v>
      </c>
      <c r="F602" s="3">
        <v>1092370.72</v>
      </c>
      <c r="G602" s="3">
        <v>968</v>
      </c>
      <c r="H602" s="3">
        <v>330</v>
      </c>
      <c r="I602" s="3" t="s">
        <v>250</v>
      </c>
      <c r="J602" s="18">
        <v>643</v>
      </c>
      <c r="K602" s="18">
        <v>1</v>
      </c>
    </row>
    <row r="603" spans="1:11" ht="25.8" x14ac:dyDescent="0.5">
      <c r="A603" s="2">
        <v>2022</v>
      </c>
      <c r="B603" s="2" t="s">
        <v>12</v>
      </c>
      <c r="C603" s="2" t="s">
        <v>9</v>
      </c>
      <c r="D603" s="2" t="s">
        <v>75</v>
      </c>
      <c r="E603" s="2" t="s">
        <v>35</v>
      </c>
      <c r="F603" s="3">
        <v>1102130.3999999999</v>
      </c>
      <c r="G603" s="3">
        <v>168</v>
      </c>
      <c r="H603" s="3">
        <v>97</v>
      </c>
      <c r="I603" s="3" t="s">
        <v>251</v>
      </c>
      <c r="J603" s="18">
        <v>216</v>
      </c>
      <c r="K603" s="18">
        <v>1</v>
      </c>
    </row>
    <row r="604" spans="1:11" ht="25.8" x14ac:dyDescent="0.5">
      <c r="A604" s="2">
        <v>2022</v>
      </c>
      <c r="B604" s="2" t="s">
        <v>18</v>
      </c>
      <c r="C604" s="2" t="s">
        <v>9</v>
      </c>
      <c r="D604" s="2" t="s">
        <v>226</v>
      </c>
      <c r="E604" s="2" t="s">
        <v>20</v>
      </c>
      <c r="F604" s="3">
        <v>1102130.3999999999</v>
      </c>
      <c r="G604" s="3">
        <v>839</v>
      </c>
      <c r="H604" s="3">
        <v>334</v>
      </c>
      <c r="I604" s="3" t="s">
        <v>252</v>
      </c>
      <c r="J604" s="18">
        <v>790</v>
      </c>
      <c r="K604" s="18">
        <v>1</v>
      </c>
    </row>
    <row r="605" spans="1:11" ht="25.8" x14ac:dyDescent="0.5">
      <c r="A605" s="2">
        <v>2022</v>
      </c>
      <c r="B605" s="2" t="s">
        <v>8</v>
      </c>
      <c r="C605" s="2" t="s">
        <v>9</v>
      </c>
      <c r="D605" s="2" t="s">
        <v>175</v>
      </c>
      <c r="E605" s="2" t="s">
        <v>22</v>
      </c>
      <c r="F605" s="3">
        <v>1109916.6399999999</v>
      </c>
      <c r="G605" s="3">
        <v>312</v>
      </c>
      <c r="H605" s="3">
        <v>983</v>
      </c>
      <c r="I605" s="3" t="s">
        <v>253</v>
      </c>
      <c r="J605" s="18">
        <v>1524</v>
      </c>
      <c r="K605" s="18">
        <v>1</v>
      </c>
    </row>
    <row r="606" spans="1:11" ht="25.8" x14ac:dyDescent="0.5">
      <c r="A606" s="2">
        <v>2021</v>
      </c>
      <c r="B606" s="2" t="s">
        <v>59</v>
      </c>
      <c r="C606" s="2" t="s">
        <v>230</v>
      </c>
      <c r="D606" s="2" t="s">
        <v>10</v>
      </c>
      <c r="E606" s="2" t="s">
        <v>35</v>
      </c>
      <c r="F606" s="3">
        <v>102180</v>
      </c>
      <c r="G606" s="3">
        <v>249</v>
      </c>
      <c r="H606" s="3">
        <v>975</v>
      </c>
      <c r="I606" s="3" t="s">
        <v>254</v>
      </c>
      <c r="J606" s="18">
        <v>1355</v>
      </c>
      <c r="K606" s="18">
        <v>1</v>
      </c>
    </row>
    <row r="607" spans="1:11" ht="25.8" x14ac:dyDescent="0.5">
      <c r="A607" s="2">
        <v>2021</v>
      </c>
      <c r="B607" s="2" t="s">
        <v>18</v>
      </c>
      <c r="C607" s="2" t="s">
        <v>230</v>
      </c>
      <c r="D607" s="2" t="s">
        <v>149</v>
      </c>
      <c r="E607" s="2" t="s">
        <v>38</v>
      </c>
      <c r="F607" s="3">
        <v>114441.60000000001</v>
      </c>
      <c r="G607" s="3">
        <v>249</v>
      </c>
      <c r="H607" s="3">
        <v>975</v>
      </c>
      <c r="I607" s="3" t="s">
        <v>255</v>
      </c>
      <c r="J607" s="18">
        <v>2149</v>
      </c>
      <c r="K607" s="18">
        <v>1</v>
      </c>
    </row>
    <row r="608" spans="1:11" ht="25.8" x14ac:dyDescent="0.5">
      <c r="A608" s="2">
        <v>2021</v>
      </c>
      <c r="B608" s="2" t="s">
        <v>15</v>
      </c>
      <c r="C608" s="2" t="s">
        <v>233</v>
      </c>
      <c r="D608" s="2" t="s">
        <v>65</v>
      </c>
      <c r="E608" s="2" t="s">
        <v>11</v>
      </c>
      <c r="F608" s="3">
        <v>117088.16</v>
      </c>
      <c r="G608" s="3">
        <v>299</v>
      </c>
      <c r="H608" s="3">
        <v>975</v>
      </c>
      <c r="I608" s="3" t="s">
        <v>256</v>
      </c>
      <c r="J608" s="18">
        <v>1346</v>
      </c>
      <c r="K608" s="18">
        <v>1</v>
      </c>
    </row>
    <row r="609" spans="1:11" ht="25.8" x14ac:dyDescent="0.5">
      <c r="A609" s="2">
        <v>2021</v>
      </c>
      <c r="B609" s="2" t="s">
        <v>12</v>
      </c>
      <c r="C609" s="2" t="s">
        <v>234</v>
      </c>
      <c r="D609" s="2" t="s">
        <v>119</v>
      </c>
      <c r="E609" s="2" t="s">
        <v>66</v>
      </c>
      <c r="F609" s="3">
        <v>123625.60000000001</v>
      </c>
      <c r="G609" s="3">
        <v>1000</v>
      </c>
      <c r="H609" s="3">
        <v>597</v>
      </c>
      <c r="I609" s="3" t="s">
        <v>257</v>
      </c>
      <c r="J609" s="18">
        <v>687</v>
      </c>
      <c r="K609" s="18">
        <v>1</v>
      </c>
    </row>
    <row r="610" spans="1:11" ht="25.8" x14ac:dyDescent="0.5">
      <c r="A610" s="2">
        <v>2021</v>
      </c>
      <c r="B610" s="2" t="s">
        <v>50</v>
      </c>
      <c r="C610" s="2" t="s">
        <v>234</v>
      </c>
      <c r="D610" s="2" t="s">
        <v>190</v>
      </c>
      <c r="E610" s="2" t="s">
        <v>22</v>
      </c>
      <c r="F610" s="3">
        <v>128292</v>
      </c>
      <c r="G610" s="3">
        <v>156</v>
      </c>
      <c r="H610" s="3">
        <v>54</v>
      </c>
      <c r="I610" s="3" t="s">
        <v>258</v>
      </c>
      <c r="J610" s="18">
        <v>61</v>
      </c>
      <c r="K610" s="18">
        <v>1</v>
      </c>
    </row>
    <row r="611" spans="1:11" ht="25.8" x14ac:dyDescent="0.5">
      <c r="A611" s="2">
        <v>2021</v>
      </c>
      <c r="B611" s="2" t="s">
        <v>59</v>
      </c>
      <c r="C611" s="2" t="s">
        <v>9</v>
      </c>
      <c r="D611" s="2" t="s">
        <v>86</v>
      </c>
      <c r="E611" s="2" t="s">
        <v>26</v>
      </c>
      <c r="F611" s="3">
        <v>129596.32</v>
      </c>
      <c r="G611" s="3">
        <v>342</v>
      </c>
      <c r="H611" s="3">
        <v>968</v>
      </c>
      <c r="I611" s="3" t="s">
        <v>259</v>
      </c>
      <c r="J611" s="18">
        <v>1679</v>
      </c>
      <c r="K611" s="18">
        <v>1</v>
      </c>
    </row>
    <row r="612" spans="1:11" ht="25.8" x14ac:dyDescent="0.5">
      <c r="A612" s="2">
        <v>2021</v>
      </c>
      <c r="B612" s="2" t="s">
        <v>18</v>
      </c>
      <c r="C612" s="2" t="s">
        <v>235</v>
      </c>
      <c r="D612" s="2" t="s">
        <v>61</v>
      </c>
      <c r="E612" s="2" t="s">
        <v>20</v>
      </c>
      <c r="F612" s="3">
        <v>143687.04000000001</v>
      </c>
      <c r="G612" s="3">
        <v>537</v>
      </c>
      <c r="H612" s="3">
        <v>970</v>
      </c>
      <c r="I612" s="3" t="s">
        <v>260</v>
      </c>
      <c r="J612" s="18">
        <v>1291</v>
      </c>
      <c r="K612" s="18">
        <v>1</v>
      </c>
    </row>
    <row r="613" spans="1:11" ht="25.8" x14ac:dyDescent="0.5">
      <c r="A613" s="2">
        <v>2021</v>
      </c>
      <c r="B613" s="2" t="s">
        <v>18</v>
      </c>
      <c r="C613" s="2" t="s">
        <v>234</v>
      </c>
      <c r="D613" s="2" t="s">
        <v>178</v>
      </c>
      <c r="E613" s="2" t="s">
        <v>14</v>
      </c>
      <c r="F613" s="3">
        <v>145079.20000000001</v>
      </c>
      <c r="G613" s="3">
        <v>232</v>
      </c>
      <c r="H613" s="3">
        <v>351</v>
      </c>
      <c r="I613" s="3" t="s">
        <v>261</v>
      </c>
      <c r="J613" s="18">
        <v>874</v>
      </c>
      <c r="K613" s="18">
        <v>1</v>
      </c>
    </row>
    <row r="614" spans="1:11" ht="25.8" x14ac:dyDescent="0.5">
      <c r="A614" s="2">
        <v>2021</v>
      </c>
      <c r="B614" s="2" t="s">
        <v>18</v>
      </c>
      <c r="C614" s="2" t="s">
        <v>235</v>
      </c>
      <c r="D614" s="2" t="s">
        <v>118</v>
      </c>
      <c r="E614" s="2" t="s">
        <v>11</v>
      </c>
      <c r="F614" s="3">
        <v>148080.79999999999</v>
      </c>
      <c r="G614" s="3">
        <v>537</v>
      </c>
      <c r="H614" s="3">
        <v>970</v>
      </c>
      <c r="I614" s="3" t="s">
        <v>250</v>
      </c>
      <c r="J614" s="18">
        <v>1373</v>
      </c>
      <c r="K614" s="18">
        <v>1</v>
      </c>
    </row>
    <row r="615" spans="1:11" ht="25.8" x14ac:dyDescent="0.5">
      <c r="A615" s="2">
        <v>2021</v>
      </c>
      <c r="B615" s="2" t="s">
        <v>8</v>
      </c>
      <c r="C615" s="2" t="s">
        <v>234</v>
      </c>
      <c r="D615" s="2" t="s">
        <v>34</v>
      </c>
      <c r="E615" s="2" t="s">
        <v>14</v>
      </c>
      <c r="F615" s="3">
        <v>149596</v>
      </c>
      <c r="G615" s="3">
        <v>137</v>
      </c>
      <c r="H615" s="3">
        <v>784</v>
      </c>
      <c r="I615" s="3" t="s">
        <v>251</v>
      </c>
      <c r="J615" s="18">
        <v>924</v>
      </c>
      <c r="K615" s="18">
        <v>1</v>
      </c>
    </row>
    <row r="616" spans="1:11" ht="25.8" x14ac:dyDescent="0.5">
      <c r="A616" s="2">
        <v>2021</v>
      </c>
      <c r="B616" s="2" t="s">
        <v>15</v>
      </c>
      <c r="C616" s="2" t="s">
        <v>234</v>
      </c>
      <c r="D616" s="2" t="s">
        <v>51</v>
      </c>
      <c r="E616" s="2" t="s">
        <v>66</v>
      </c>
      <c r="F616" s="3">
        <v>151026.4</v>
      </c>
      <c r="G616" s="3">
        <v>389</v>
      </c>
      <c r="H616" s="3">
        <v>930</v>
      </c>
      <c r="I616" s="3" t="s">
        <v>252</v>
      </c>
      <c r="J616" s="18">
        <v>1757</v>
      </c>
      <c r="K616" s="18">
        <v>1</v>
      </c>
    </row>
    <row r="617" spans="1:11" ht="25.8" x14ac:dyDescent="0.5">
      <c r="A617" s="2">
        <v>2021</v>
      </c>
      <c r="B617" s="2" t="s">
        <v>50</v>
      </c>
      <c r="C617" s="2" t="s">
        <v>236</v>
      </c>
      <c r="D617" s="2" t="s">
        <v>223</v>
      </c>
      <c r="E617" s="2" t="s">
        <v>66</v>
      </c>
      <c r="F617" s="3">
        <v>151026.4</v>
      </c>
      <c r="G617" s="3">
        <v>934</v>
      </c>
      <c r="H617" s="3">
        <v>75</v>
      </c>
      <c r="I617" s="3" t="s">
        <v>253</v>
      </c>
      <c r="J617" s="18">
        <v>134</v>
      </c>
      <c r="K617" s="18">
        <v>1</v>
      </c>
    </row>
    <row r="618" spans="1:11" ht="25.8" x14ac:dyDescent="0.5">
      <c r="A618" s="2">
        <v>2021</v>
      </c>
      <c r="B618" s="2" t="s">
        <v>12</v>
      </c>
      <c r="C618" s="2" t="s">
        <v>234</v>
      </c>
      <c r="D618" s="2" t="s">
        <v>93</v>
      </c>
      <c r="E618" s="2" t="s">
        <v>66</v>
      </c>
      <c r="F618" s="3">
        <v>151026.4</v>
      </c>
      <c r="G618" s="3">
        <v>1000</v>
      </c>
      <c r="H618" s="3">
        <v>597</v>
      </c>
      <c r="I618" s="3" t="s">
        <v>254</v>
      </c>
      <c r="J618" s="18">
        <v>1492</v>
      </c>
      <c r="K618" s="18">
        <v>1</v>
      </c>
    </row>
    <row r="619" spans="1:11" ht="25.8" x14ac:dyDescent="0.5">
      <c r="A619" s="2">
        <v>2021</v>
      </c>
      <c r="B619" s="2" t="s">
        <v>12</v>
      </c>
      <c r="C619" s="2" t="s">
        <v>236</v>
      </c>
      <c r="D619" s="2" t="s">
        <v>169</v>
      </c>
      <c r="E619" s="2" t="s">
        <v>66</v>
      </c>
      <c r="F619" s="3">
        <v>151026.4</v>
      </c>
      <c r="G619" s="3">
        <v>970</v>
      </c>
      <c r="H619" s="3">
        <v>616</v>
      </c>
      <c r="I619" s="3" t="s">
        <v>255</v>
      </c>
      <c r="J619" s="18">
        <v>1359</v>
      </c>
      <c r="K619" s="18">
        <v>1</v>
      </c>
    </row>
    <row r="620" spans="1:11" ht="25.8" x14ac:dyDescent="0.5">
      <c r="A620" s="2">
        <v>2021</v>
      </c>
      <c r="B620" s="2" t="s">
        <v>15</v>
      </c>
      <c r="C620" s="2" t="s">
        <v>228</v>
      </c>
      <c r="D620" s="2" t="s">
        <v>221</v>
      </c>
      <c r="E620" s="2" t="s">
        <v>66</v>
      </c>
      <c r="F620" s="3">
        <v>151026.4</v>
      </c>
      <c r="G620" s="3">
        <v>28</v>
      </c>
      <c r="H620" s="3">
        <v>287</v>
      </c>
      <c r="I620" s="3" t="s">
        <v>256</v>
      </c>
      <c r="J620" s="18">
        <v>395</v>
      </c>
      <c r="K620" s="18">
        <v>1</v>
      </c>
    </row>
    <row r="621" spans="1:11" ht="25.8" x14ac:dyDescent="0.5">
      <c r="A621" s="2">
        <v>2021</v>
      </c>
      <c r="B621" s="2" t="s">
        <v>27</v>
      </c>
      <c r="C621" s="2" t="s">
        <v>235</v>
      </c>
      <c r="D621" s="2" t="s">
        <v>19</v>
      </c>
      <c r="E621" s="2" t="s">
        <v>66</v>
      </c>
      <c r="F621" s="3">
        <v>151026.4</v>
      </c>
      <c r="G621" s="3">
        <v>98</v>
      </c>
      <c r="H621" s="3">
        <v>968</v>
      </c>
      <c r="I621" s="3" t="s">
        <v>257</v>
      </c>
      <c r="J621" s="18">
        <v>1310</v>
      </c>
      <c r="K621" s="18">
        <v>1</v>
      </c>
    </row>
    <row r="622" spans="1:11" ht="25.8" x14ac:dyDescent="0.5">
      <c r="A622" s="2">
        <v>2021</v>
      </c>
      <c r="B622" s="2" t="s">
        <v>50</v>
      </c>
      <c r="C622" s="2" t="s">
        <v>231</v>
      </c>
      <c r="D622" s="2" t="s">
        <v>180</v>
      </c>
      <c r="E622" s="2" t="s">
        <v>66</v>
      </c>
      <c r="F622" s="3">
        <v>151026.4</v>
      </c>
      <c r="G622" s="3">
        <v>851</v>
      </c>
      <c r="H622" s="3">
        <v>162</v>
      </c>
      <c r="I622" s="3" t="s">
        <v>258</v>
      </c>
      <c r="J622" s="18">
        <v>285</v>
      </c>
      <c r="K622" s="18">
        <v>1</v>
      </c>
    </row>
    <row r="623" spans="1:11" ht="25.8" x14ac:dyDescent="0.5">
      <c r="A623" s="2">
        <v>2021</v>
      </c>
      <c r="B623" s="2" t="s">
        <v>50</v>
      </c>
      <c r="C623" s="2" t="s">
        <v>236</v>
      </c>
      <c r="D623" s="2" t="s">
        <v>183</v>
      </c>
      <c r="E623" s="2" t="s">
        <v>66</v>
      </c>
      <c r="F623" s="3">
        <v>151026.4</v>
      </c>
      <c r="G623" s="3">
        <v>934</v>
      </c>
      <c r="H623" s="3">
        <v>75</v>
      </c>
      <c r="I623" s="3" t="s">
        <v>259</v>
      </c>
      <c r="J623" s="18">
        <v>155</v>
      </c>
      <c r="K623" s="18">
        <v>1</v>
      </c>
    </row>
    <row r="624" spans="1:11" ht="25.8" x14ac:dyDescent="0.5">
      <c r="A624" s="2">
        <v>2021</v>
      </c>
      <c r="B624" s="2" t="s">
        <v>15</v>
      </c>
      <c r="C624" s="2" t="s">
        <v>234</v>
      </c>
      <c r="D624" s="2" t="s">
        <v>165</v>
      </c>
      <c r="E624" s="2" t="s">
        <v>66</v>
      </c>
      <c r="F624" s="3">
        <v>151026.4</v>
      </c>
      <c r="G624" s="3">
        <v>389</v>
      </c>
      <c r="H624" s="3">
        <v>930</v>
      </c>
      <c r="I624" s="3" t="s">
        <v>260</v>
      </c>
      <c r="J624" s="18">
        <v>1257</v>
      </c>
      <c r="K624" s="18">
        <v>1</v>
      </c>
    </row>
    <row r="625" spans="1:11" ht="25.8" x14ac:dyDescent="0.5">
      <c r="A625" s="2">
        <v>2021</v>
      </c>
      <c r="B625" s="2" t="s">
        <v>12</v>
      </c>
      <c r="C625" s="2" t="s">
        <v>234</v>
      </c>
      <c r="D625" s="2" t="s">
        <v>141</v>
      </c>
      <c r="E625" s="2" t="s">
        <v>66</v>
      </c>
      <c r="F625" s="3">
        <v>151026.4</v>
      </c>
      <c r="G625" s="3">
        <v>1000</v>
      </c>
      <c r="H625" s="3">
        <v>597</v>
      </c>
      <c r="I625" s="3" t="s">
        <v>261</v>
      </c>
      <c r="J625" s="18">
        <v>964</v>
      </c>
      <c r="K625" s="18">
        <v>1</v>
      </c>
    </row>
    <row r="626" spans="1:11" ht="25.8" x14ac:dyDescent="0.5">
      <c r="A626" s="2">
        <v>2021</v>
      </c>
      <c r="B626" s="2" t="s">
        <v>15</v>
      </c>
      <c r="C626" s="2" t="s">
        <v>228</v>
      </c>
      <c r="D626" s="2" t="s">
        <v>218</v>
      </c>
      <c r="E626" s="2" t="s">
        <v>66</v>
      </c>
      <c r="F626" s="3">
        <v>151026.4</v>
      </c>
      <c r="G626" s="3">
        <v>28</v>
      </c>
      <c r="H626" s="3">
        <v>287</v>
      </c>
      <c r="I626" s="3" t="s">
        <v>250</v>
      </c>
      <c r="J626" s="18">
        <v>339</v>
      </c>
      <c r="K626" s="18">
        <v>1</v>
      </c>
    </row>
    <row r="627" spans="1:11" ht="25.8" x14ac:dyDescent="0.5">
      <c r="A627" s="2">
        <v>2021</v>
      </c>
      <c r="B627" s="2" t="s">
        <v>12</v>
      </c>
      <c r="C627" s="2" t="s">
        <v>236</v>
      </c>
      <c r="D627" s="2" t="s">
        <v>117</v>
      </c>
      <c r="E627" s="2" t="s">
        <v>66</v>
      </c>
      <c r="F627" s="3">
        <v>151026.4</v>
      </c>
      <c r="G627" s="3">
        <v>970</v>
      </c>
      <c r="H627" s="3">
        <v>616</v>
      </c>
      <c r="I627" s="3" t="s">
        <v>251</v>
      </c>
      <c r="J627" s="18">
        <v>863</v>
      </c>
      <c r="K627" s="18">
        <v>1</v>
      </c>
    </row>
    <row r="628" spans="1:11" ht="25.8" x14ac:dyDescent="0.5">
      <c r="A628" s="2">
        <v>2021</v>
      </c>
      <c r="B628" s="2" t="s">
        <v>15</v>
      </c>
      <c r="C628" s="2" t="s">
        <v>228</v>
      </c>
      <c r="D628" s="2" t="s">
        <v>114</v>
      </c>
      <c r="E628" s="2" t="s">
        <v>66</v>
      </c>
      <c r="F628" s="3">
        <v>151026.4</v>
      </c>
      <c r="G628" s="3">
        <v>28</v>
      </c>
      <c r="H628" s="3">
        <v>287</v>
      </c>
      <c r="I628" s="3" t="s">
        <v>252</v>
      </c>
      <c r="J628" s="18">
        <v>712</v>
      </c>
      <c r="K628" s="18">
        <v>1</v>
      </c>
    </row>
    <row r="629" spans="1:11" ht="25.8" x14ac:dyDescent="0.5">
      <c r="A629" s="2">
        <v>2021</v>
      </c>
      <c r="B629" s="2" t="s">
        <v>15</v>
      </c>
      <c r="C629" s="2" t="s">
        <v>228</v>
      </c>
      <c r="D629" s="2" t="s">
        <v>164</v>
      </c>
      <c r="E629" s="2" t="s">
        <v>66</v>
      </c>
      <c r="F629" s="3">
        <v>151026.4</v>
      </c>
      <c r="G629" s="3">
        <v>28</v>
      </c>
      <c r="H629" s="3">
        <v>287</v>
      </c>
      <c r="I629" s="3" t="s">
        <v>253</v>
      </c>
      <c r="J629" s="18">
        <v>708</v>
      </c>
      <c r="K629" s="18">
        <v>1</v>
      </c>
    </row>
    <row r="630" spans="1:11" ht="25.8" x14ac:dyDescent="0.5">
      <c r="A630" s="2">
        <v>2021</v>
      </c>
      <c r="B630" s="2" t="s">
        <v>15</v>
      </c>
      <c r="C630" s="2" t="s">
        <v>233</v>
      </c>
      <c r="D630" s="2" t="s">
        <v>102</v>
      </c>
      <c r="E630" s="2" t="s">
        <v>11</v>
      </c>
      <c r="F630" s="3">
        <v>164317.44</v>
      </c>
      <c r="G630" s="3">
        <v>299</v>
      </c>
      <c r="H630" s="3">
        <v>975</v>
      </c>
      <c r="I630" s="3" t="s">
        <v>254</v>
      </c>
      <c r="J630" s="18">
        <v>1831</v>
      </c>
      <c r="K630" s="18">
        <v>1</v>
      </c>
    </row>
    <row r="631" spans="1:11" ht="25.8" x14ac:dyDescent="0.5">
      <c r="A631" s="2">
        <v>2021</v>
      </c>
      <c r="B631" s="2" t="s">
        <v>12</v>
      </c>
      <c r="C631" s="2" t="s">
        <v>236</v>
      </c>
      <c r="D631" s="2" t="s">
        <v>41</v>
      </c>
      <c r="E631" s="2" t="s">
        <v>22</v>
      </c>
      <c r="F631" s="3">
        <v>165638</v>
      </c>
      <c r="G631" s="3">
        <v>150</v>
      </c>
      <c r="H631" s="3">
        <v>413</v>
      </c>
      <c r="I631" s="3" t="s">
        <v>255</v>
      </c>
      <c r="J631" s="18">
        <v>1002</v>
      </c>
      <c r="K631" s="18">
        <v>1</v>
      </c>
    </row>
    <row r="632" spans="1:11" ht="25.8" x14ac:dyDescent="0.5">
      <c r="A632" s="2">
        <v>2021</v>
      </c>
      <c r="B632" s="2" t="s">
        <v>27</v>
      </c>
      <c r="C632" s="2" t="s">
        <v>235</v>
      </c>
      <c r="D632" s="2" t="s">
        <v>154</v>
      </c>
      <c r="E632" s="2" t="s">
        <v>66</v>
      </c>
      <c r="F632" s="3">
        <v>166970.72</v>
      </c>
      <c r="G632" s="3">
        <v>98</v>
      </c>
      <c r="H632" s="3">
        <v>968</v>
      </c>
      <c r="I632" s="3" t="s">
        <v>256</v>
      </c>
      <c r="J632" s="18">
        <v>1512</v>
      </c>
      <c r="K632" s="18">
        <v>1</v>
      </c>
    </row>
    <row r="633" spans="1:11" ht="25.8" x14ac:dyDescent="0.5">
      <c r="A633" s="2">
        <v>2021</v>
      </c>
      <c r="B633" s="2" t="s">
        <v>12</v>
      </c>
      <c r="C633" s="2" t="s">
        <v>235</v>
      </c>
      <c r="D633" s="2" t="s">
        <v>226</v>
      </c>
      <c r="E633" s="2" t="s">
        <v>38</v>
      </c>
      <c r="F633" s="3">
        <v>170051.84</v>
      </c>
      <c r="G633" s="3">
        <v>268</v>
      </c>
      <c r="H633" s="3">
        <v>118</v>
      </c>
      <c r="I633" s="3" t="s">
        <v>257</v>
      </c>
      <c r="J633" s="18">
        <v>157</v>
      </c>
      <c r="K633" s="18">
        <v>1</v>
      </c>
    </row>
    <row r="634" spans="1:11" ht="25.8" x14ac:dyDescent="0.5">
      <c r="A634" s="2">
        <v>2021</v>
      </c>
      <c r="B634" s="2" t="s">
        <v>59</v>
      </c>
      <c r="C634" s="2" t="s">
        <v>229</v>
      </c>
      <c r="D634" s="2" t="s">
        <v>92</v>
      </c>
      <c r="E634" s="2" t="s">
        <v>22</v>
      </c>
      <c r="F634" s="3">
        <v>170291.52</v>
      </c>
      <c r="G634" s="3">
        <v>871</v>
      </c>
      <c r="H634" s="3">
        <v>810</v>
      </c>
      <c r="I634" s="3" t="s">
        <v>258</v>
      </c>
      <c r="J634" s="18">
        <v>1787</v>
      </c>
      <c r="K634" s="18">
        <v>1</v>
      </c>
    </row>
    <row r="635" spans="1:11" ht="25.8" x14ac:dyDescent="0.5">
      <c r="A635" s="2">
        <v>2021</v>
      </c>
      <c r="B635" s="2" t="s">
        <v>12</v>
      </c>
      <c r="C635" s="2" t="s">
        <v>236</v>
      </c>
      <c r="D635" s="2" t="s">
        <v>43</v>
      </c>
      <c r="E635" s="2" t="s">
        <v>17</v>
      </c>
      <c r="F635" s="3">
        <v>177635</v>
      </c>
      <c r="G635" s="3">
        <v>957</v>
      </c>
      <c r="H635" s="3">
        <v>210</v>
      </c>
      <c r="I635" s="3" t="s">
        <v>259</v>
      </c>
      <c r="J635" s="18">
        <v>360</v>
      </c>
      <c r="K635" s="18">
        <v>1</v>
      </c>
    </row>
    <row r="636" spans="1:11" ht="25.8" x14ac:dyDescent="0.5">
      <c r="A636" s="2">
        <v>2021</v>
      </c>
      <c r="B636" s="2" t="s">
        <v>29</v>
      </c>
      <c r="C636" s="2" t="s">
        <v>231</v>
      </c>
      <c r="D636" s="2" t="s">
        <v>214</v>
      </c>
      <c r="E636" s="2" t="s">
        <v>26</v>
      </c>
      <c r="F636" s="3">
        <v>181082.72</v>
      </c>
      <c r="G636" s="3">
        <v>869</v>
      </c>
      <c r="H636" s="3">
        <v>930</v>
      </c>
      <c r="I636" s="3" t="s">
        <v>260</v>
      </c>
      <c r="J636" s="18">
        <v>1400</v>
      </c>
      <c r="K636" s="18">
        <v>1</v>
      </c>
    </row>
    <row r="637" spans="1:11" ht="25.8" x14ac:dyDescent="0.5">
      <c r="A637" s="2">
        <v>2021</v>
      </c>
      <c r="B637" s="2" t="s">
        <v>18</v>
      </c>
      <c r="C637" s="2" t="s">
        <v>233</v>
      </c>
      <c r="D637" s="2" t="s">
        <v>46</v>
      </c>
      <c r="E637" s="2" t="s">
        <v>22</v>
      </c>
      <c r="F637" s="3">
        <v>184155</v>
      </c>
      <c r="G637" s="3">
        <v>461</v>
      </c>
      <c r="H637" s="3">
        <v>615</v>
      </c>
      <c r="I637" s="3" t="s">
        <v>261</v>
      </c>
      <c r="J637" s="18">
        <v>918</v>
      </c>
      <c r="K637" s="18">
        <v>1</v>
      </c>
    </row>
    <row r="638" spans="1:11" ht="25.8" x14ac:dyDescent="0.5">
      <c r="A638" s="2">
        <v>2021</v>
      </c>
      <c r="B638" s="2" t="s">
        <v>18</v>
      </c>
      <c r="C638" s="2" t="s">
        <v>234</v>
      </c>
      <c r="D638" s="2" t="s">
        <v>53</v>
      </c>
      <c r="E638" s="2" t="s">
        <v>20</v>
      </c>
      <c r="F638" s="3">
        <v>185506.72</v>
      </c>
      <c r="G638" s="3">
        <v>166</v>
      </c>
      <c r="H638" s="3">
        <v>934</v>
      </c>
      <c r="I638" s="3" t="s">
        <v>250</v>
      </c>
      <c r="J638" s="18">
        <v>1665</v>
      </c>
      <c r="K638" s="18">
        <v>1</v>
      </c>
    </row>
    <row r="639" spans="1:11" ht="25.8" x14ac:dyDescent="0.5">
      <c r="A639" s="2">
        <v>2021</v>
      </c>
      <c r="B639" s="2" t="s">
        <v>18</v>
      </c>
      <c r="C639" s="2" t="s">
        <v>228</v>
      </c>
      <c r="D639" s="2" t="s">
        <v>120</v>
      </c>
      <c r="E639" s="2" t="s">
        <v>35</v>
      </c>
      <c r="F639" s="3">
        <v>186455.36</v>
      </c>
      <c r="G639" s="3">
        <v>597</v>
      </c>
      <c r="H639" s="3">
        <v>287</v>
      </c>
      <c r="I639" s="3" t="s">
        <v>251</v>
      </c>
      <c r="J639" s="18">
        <v>341</v>
      </c>
      <c r="K639" s="18">
        <v>1</v>
      </c>
    </row>
    <row r="640" spans="1:11" ht="25.8" x14ac:dyDescent="0.5">
      <c r="A640" s="2">
        <v>2021</v>
      </c>
      <c r="B640" s="2" t="s">
        <v>54</v>
      </c>
      <c r="C640" s="2" t="s">
        <v>230</v>
      </c>
      <c r="D640" s="2" t="s">
        <v>39</v>
      </c>
      <c r="E640" s="2" t="s">
        <v>35</v>
      </c>
      <c r="F640" s="3">
        <v>186455.36</v>
      </c>
      <c r="G640" s="3">
        <v>60</v>
      </c>
      <c r="H640" s="3">
        <v>849</v>
      </c>
      <c r="I640" s="3" t="s">
        <v>252</v>
      </c>
      <c r="J640" s="18">
        <v>1276</v>
      </c>
      <c r="K640" s="18">
        <v>1</v>
      </c>
    </row>
    <row r="641" spans="1:11" ht="25.8" x14ac:dyDescent="0.5">
      <c r="A641" s="2">
        <v>2021</v>
      </c>
      <c r="B641" s="2" t="s">
        <v>59</v>
      </c>
      <c r="C641" s="2" t="s">
        <v>230</v>
      </c>
      <c r="D641" s="2" t="s">
        <v>137</v>
      </c>
      <c r="E641" s="2" t="s">
        <v>35</v>
      </c>
      <c r="F641" s="3">
        <v>186455.36</v>
      </c>
      <c r="G641" s="3">
        <v>515</v>
      </c>
      <c r="H641" s="3">
        <v>210</v>
      </c>
      <c r="I641" s="3" t="s">
        <v>253</v>
      </c>
      <c r="J641" s="18">
        <v>242</v>
      </c>
      <c r="K641" s="18">
        <v>1</v>
      </c>
    </row>
    <row r="642" spans="1:11" ht="25.8" x14ac:dyDescent="0.5">
      <c r="A642" s="2">
        <v>2021</v>
      </c>
      <c r="B642" s="2" t="s">
        <v>59</v>
      </c>
      <c r="C642" s="2" t="s">
        <v>234</v>
      </c>
      <c r="D642" s="2" t="s">
        <v>175</v>
      </c>
      <c r="E642" s="2" t="s">
        <v>35</v>
      </c>
      <c r="F642" s="3">
        <v>186455.36</v>
      </c>
      <c r="G642" s="3">
        <v>734</v>
      </c>
      <c r="H642" s="3">
        <v>568</v>
      </c>
      <c r="I642" s="3" t="s">
        <v>254</v>
      </c>
      <c r="J642" s="18">
        <v>1247</v>
      </c>
      <c r="K642" s="18">
        <v>1</v>
      </c>
    </row>
    <row r="643" spans="1:11" ht="25.8" x14ac:dyDescent="0.5">
      <c r="A643" s="2">
        <v>2021</v>
      </c>
      <c r="B643" s="2" t="s">
        <v>59</v>
      </c>
      <c r="C643" s="2" t="s">
        <v>233</v>
      </c>
      <c r="D643" s="2" t="s">
        <v>193</v>
      </c>
      <c r="E643" s="2" t="s">
        <v>35</v>
      </c>
      <c r="F643" s="3">
        <v>186455.36</v>
      </c>
      <c r="G643" s="3">
        <v>749</v>
      </c>
      <c r="H643" s="3">
        <v>648</v>
      </c>
      <c r="I643" s="3" t="s">
        <v>255</v>
      </c>
      <c r="J643" s="18">
        <v>1055</v>
      </c>
      <c r="K643" s="18">
        <v>1</v>
      </c>
    </row>
    <row r="644" spans="1:11" ht="25.8" x14ac:dyDescent="0.5">
      <c r="A644" s="2">
        <v>2021</v>
      </c>
      <c r="B644" s="2" t="s">
        <v>59</v>
      </c>
      <c r="C644" s="2" t="s">
        <v>234</v>
      </c>
      <c r="D644" s="2" t="s">
        <v>111</v>
      </c>
      <c r="E644" s="2" t="s">
        <v>35</v>
      </c>
      <c r="F644" s="3">
        <v>186455.36</v>
      </c>
      <c r="G644" s="3">
        <v>734</v>
      </c>
      <c r="H644" s="3">
        <v>568</v>
      </c>
      <c r="I644" s="3" t="s">
        <v>256</v>
      </c>
      <c r="J644" s="18">
        <v>1035</v>
      </c>
      <c r="K644" s="18">
        <v>1</v>
      </c>
    </row>
    <row r="645" spans="1:11" ht="25.8" x14ac:dyDescent="0.5">
      <c r="A645" s="2">
        <v>2021</v>
      </c>
      <c r="B645" s="2" t="s">
        <v>59</v>
      </c>
      <c r="C645" s="2" t="s">
        <v>236</v>
      </c>
      <c r="D645" s="2" t="s">
        <v>95</v>
      </c>
      <c r="E645" s="2" t="s">
        <v>35</v>
      </c>
      <c r="F645" s="3">
        <v>186455.36</v>
      </c>
      <c r="G645" s="3">
        <v>479</v>
      </c>
      <c r="H645" s="3">
        <v>934</v>
      </c>
      <c r="I645" s="3" t="s">
        <v>257</v>
      </c>
      <c r="J645" s="18">
        <v>1300</v>
      </c>
      <c r="K645" s="18">
        <v>1</v>
      </c>
    </row>
    <row r="646" spans="1:11" ht="25.8" x14ac:dyDescent="0.5">
      <c r="A646" s="2">
        <v>2021</v>
      </c>
      <c r="B646" s="2" t="s">
        <v>59</v>
      </c>
      <c r="C646" s="2" t="s">
        <v>9</v>
      </c>
      <c r="D646" s="2" t="s">
        <v>182</v>
      </c>
      <c r="E646" s="2" t="s">
        <v>35</v>
      </c>
      <c r="F646" s="3">
        <v>186455.36</v>
      </c>
      <c r="G646" s="3">
        <v>774</v>
      </c>
      <c r="H646" s="3">
        <v>33</v>
      </c>
      <c r="I646" s="3" t="s">
        <v>258</v>
      </c>
      <c r="J646" s="18">
        <v>81</v>
      </c>
      <c r="K646" s="18">
        <v>1</v>
      </c>
    </row>
    <row r="647" spans="1:11" ht="25.8" x14ac:dyDescent="0.5">
      <c r="A647" s="2">
        <v>2021</v>
      </c>
      <c r="B647" s="2" t="s">
        <v>27</v>
      </c>
      <c r="C647" s="2" t="s">
        <v>234</v>
      </c>
      <c r="D647" s="2" t="s">
        <v>52</v>
      </c>
      <c r="E647" s="2" t="s">
        <v>20</v>
      </c>
      <c r="F647" s="3">
        <v>196146</v>
      </c>
      <c r="G647" s="3">
        <v>849</v>
      </c>
      <c r="H647" s="3">
        <v>156</v>
      </c>
      <c r="I647" s="3" t="s">
        <v>259</v>
      </c>
      <c r="J647" s="18">
        <v>197</v>
      </c>
      <c r="K647" s="18">
        <v>1</v>
      </c>
    </row>
    <row r="648" spans="1:11" ht="25.8" x14ac:dyDescent="0.5">
      <c r="A648" s="2">
        <v>2021</v>
      </c>
      <c r="B648" s="2" t="s">
        <v>59</v>
      </c>
      <c r="C648" s="2" t="s">
        <v>229</v>
      </c>
      <c r="D648" s="2" t="s">
        <v>40</v>
      </c>
      <c r="E648" s="2" t="s">
        <v>22</v>
      </c>
      <c r="F648" s="3">
        <v>198951.2</v>
      </c>
      <c r="G648" s="3">
        <v>871</v>
      </c>
      <c r="H648" s="3">
        <v>810</v>
      </c>
      <c r="I648" s="3" t="s">
        <v>260</v>
      </c>
      <c r="J648" s="18">
        <v>1964</v>
      </c>
      <c r="K648" s="18">
        <v>1</v>
      </c>
    </row>
    <row r="649" spans="1:11" ht="25.8" x14ac:dyDescent="0.5">
      <c r="A649" s="2">
        <v>2021</v>
      </c>
      <c r="B649" s="2" t="s">
        <v>18</v>
      </c>
      <c r="C649" s="2" t="s">
        <v>232</v>
      </c>
      <c r="D649" s="2" t="s">
        <v>98</v>
      </c>
      <c r="E649" s="2" t="s">
        <v>22</v>
      </c>
      <c r="F649" s="3">
        <v>199691.51999999999</v>
      </c>
      <c r="G649" s="3">
        <v>61</v>
      </c>
      <c r="H649" s="3">
        <v>28</v>
      </c>
      <c r="I649" s="3" t="s">
        <v>261</v>
      </c>
      <c r="J649" s="18">
        <v>36</v>
      </c>
      <c r="K649" s="18">
        <v>1</v>
      </c>
    </row>
    <row r="650" spans="1:11" ht="25.8" x14ac:dyDescent="0.5">
      <c r="A650" s="2">
        <v>2021</v>
      </c>
      <c r="B650" s="2" t="s">
        <v>12</v>
      </c>
      <c r="C650" s="2" t="s">
        <v>236</v>
      </c>
      <c r="D650" s="2" t="s">
        <v>161</v>
      </c>
      <c r="E650" s="2" t="s">
        <v>14</v>
      </c>
      <c r="F650" s="3">
        <v>204794.23999999999</v>
      </c>
      <c r="G650" s="3">
        <v>957</v>
      </c>
      <c r="H650" s="3">
        <v>210</v>
      </c>
      <c r="I650" s="3" t="s">
        <v>250</v>
      </c>
      <c r="J650" s="18">
        <v>434</v>
      </c>
      <c r="K650" s="18">
        <v>1</v>
      </c>
    </row>
    <row r="651" spans="1:11" ht="25.8" x14ac:dyDescent="0.5">
      <c r="A651" s="2">
        <v>2021</v>
      </c>
      <c r="B651" s="2" t="s">
        <v>27</v>
      </c>
      <c r="C651" s="2" t="s">
        <v>228</v>
      </c>
      <c r="D651" s="2" t="s">
        <v>33</v>
      </c>
      <c r="E651" s="2" t="s">
        <v>38</v>
      </c>
      <c r="F651" s="3">
        <v>206253.6</v>
      </c>
      <c r="G651" s="3">
        <v>351</v>
      </c>
      <c r="H651" s="3">
        <v>918</v>
      </c>
      <c r="I651" s="3" t="s">
        <v>251</v>
      </c>
      <c r="J651" s="18">
        <v>2061</v>
      </c>
      <c r="K651" s="18">
        <v>1</v>
      </c>
    </row>
    <row r="652" spans="1:11" ht="25.8" x14ac:dyDescent="0.5">
      <c r="A652" s="2">
        <v>2021</v>
      </c>
      <c r="B652" s="2" t="s">
        <v>23</v>
      </c>
      <c r="C652" s="2" t="s">
        <v>228</v>
      </c>
      <c r="D652" s="2" t="s">
        <v>37</v>
      </c>
      <c r="E652" s="2" t="s">
        <v>26</v>
      </c>
      <c r="F652" s="3">
        <v>209059.20000000001</v>
      </c>
      <c r="G652" s="3">
        <v>573</v>
      </c>
      <c r="H652" s="3">
        <v>784</v>
      </c>
      <c r="I652" s="3" t="s">
        <v>252</v>
      </c>
      <c r="J652" s="18">
        <v>1931</v>
      </c>
      <c r="K652" s="18">
        <v>1</v>
      </c>
    </row>
    <row r="653" spans="1:11" ht="25.8" x14ac:dyDescent="0.5">
      <c r="A653" s="2">
        <v>2021</v>
      </c>
      <c r="B653" s="2" t="s">
        <v>29</v>
      </c>
      <c r="C653" s="2" t="s">
        <v>231</v>
      </c>
      <c r="D653" s="2" t="s">
        <v>210</v>
      </c>
      <c r="E653" s="2" t="s">
        <v>26</v>
      </c>
      <c r="F653" s="3">
        <v>209059.20000000001</v>
      </c>
      <c r="G653" s="3">
        <v>869</v>
      </c>
      <c r="H653" s="3">
        <v>930</v>
      </c>
      <c r="I653" s="3" t="s">
        <v>253</v>
      </c>
      <c r="J653" s="18">
        <v>1754</v>
      </c>
      <c r="K653" s="18">
        <v>1</v>
      </c>
    </row>
    <row r="654" spans="1:11" ht="25.8" x14ac:dyDescent="0.5">
      <c r="A654" s="2">
        <v>2021</v>
      </c>
      <c r="B654" s="2" t="s">
        <v>59</v>
      </c>
      <c r="C654" s="2" t="s">
        <v>228</v>
      </c>
      <c r="D654" s="2" t="s">
        <v>205</v>
      </c>
      <c r="E654" s="2" t="s">
        <v>26</v>
      </c>
      <c r="F654" s="3">
        <v>209059.20000000001</v>
      </c>
      <c r="G654" s="3">
        <v>810</v>
      </c>
      <c r="H654" s="3">
        <v>657</v>
      </c>
      <c r="I654" s="3" t="s">
        <v>254</v>
      </c>
      <c r="J654" s="18">
        <v>1563</v>
      </c>
      <c r="K654" s="18">
        <v>1</v>
      </c>
    </row>
    <row r="655" spans="1:11" ht="25.8" x14ac:dyDescent="0.5">
      <c r="A655" s="2">
        <v>2021</v>
      </c>
      <c r="B655" s="2" t="s">
        <v>50</v>
      </c>
      <c r="C655" s="2" t="s">
        <v>9</v>
      </c>
      <c r="D655" s="2" t="s">
        <v>184</v>
      </c>
      <c r="E655" s="2" t="s">
        <v>35</v>
      </c>
      <c r="F655" s="3">
        <v>209059.20000000001</v>
      </c>
      <c r="G655" s="3">
        <v>616</v>
      </c>
      <c r="H655" s="3">
        <v>398</v>
      </c>
      <c r="I655" s="3" t="s">
        <v>255</v>
      </c>
      <c r="J655" s="18">
        <v>605</v>
      </c>
      <c r="K655" s="18">
        <v>1</v>
      </c>
    </row>
    <row r="656" spans="1:11" ht="25.8" x14ac:dyDescent="0.5">
      <c r="A656" s="2">
        <v>2021</v>
      </c>
      <c r="B656" s="2" t="s">
        <v>50</v>
      </c>
      <c r="C656" s="2" t="s">
        <v>9</v>
      </c>
      <c r="D656" s="2" t="s">
        <v>217</v>
      </c>
      <c r="E656" s="2" t="s">
        <v>35</v>
      </c>
      <c r="F656" s="3">
        <v>209059.20000000001</v>
      </c>
      <c r="G656" s="3">
        <v>616</v>
      </c>
      <c r="H656" s="3">
        <v>398</v>
      </c>
      <c r="I656" s="3" t="s">
        <v>256</v>
      </c>
      <c r="J656" s="18">
        <v>954</v>
      </c>
      <c r="K656" s="18">
        <v>1</v>
      </c>
    </row>
    <row r="657" spans="1:11" ht="25.8" x14ac:dyDescent="0.5">
      <c r="A657" s="2">
        <v>2021</v>
      </c>
      <c r="B657" s="2" t="s">
        <v>29</v>
      </c>
      <c r="C657" s="2" t="s">
        <v>232</v>
      </c>
      <c r="D657" s="2" t="s">
        <v>106</v>
      </c>
      <c r="E657" s="2" t="s">
        <v>35</v>
      </c>
      <c r="F657" s="3">
        <v>209059.20000000001</v>
      </c>
      <c r="G657" s="3">
        <v>591</v>
      </c>
      <c r="H657" s="3">
        <v>810</v>
      </c>
      <c r="I657" s="3" t="s">
        <v>257</v>
      </c>
      <c r="J657" s="18">
        <v>1220</v>
      </c>
      <c r="K657" s="18">
        <v>1</v>
      </c>
    </row>
    <row r="658" spans="1:11" ht="25.8" x14ac:dyDescent="0.5">
      <c r="A658" s="2">
        <v>2021</v>
      </c>
      <c r="B658" s="2" t="s">
        <v>59</v>
      </c>
      <c r="C658" s="2" t="s">
        <v>228</v>
      </c>
      <c r="D658" s="2" t="s">
        <v>176</v>
      </c>
      <c r="E658" s="2" t="s">
        <v>22</v>
      </c>
      <c r="F658" s="3">
        <v>209059.20000000001</v>
      </c>
      <c r="G658" s="3">
        <v>810</v>
      </c>
      <c r="H658" s="3">
        <v>657</v>
      </c>
      <c r="I658" s="3" t="s">
        <v>258</v>
      </c>
      <c r="J658" s="18">
        <v>1592</v>
      </c>
      <c r="K658" s="18">
        <v>1</v>
      </c>
    </row>
    <row r="659" spans="1:11" ht="25.8" x14ac:dyDescent="0.5">
      <c r="A659" s="2">
        <v>2021</v>
      </c>
      <c r="B659" s="2" t="s">
        <v>18</v>
      </c>
      <c r="C659" s="2" t="s">
        <v>235</v>
      </c>
      <c r="D659" s="2" t="s">
        <v>36</v>
      </c>
      <c r="E659" s="2" t="s">
        <v>22</v>
      </c>
      <c r="F659" s="3">
        <v>209059.20000000001</v>
      </c>
      <c r="G659" s="3">
        <v>537</v>
      </c>
      <c r="H659" s="3">
        <v>970</v>
      </c>
      <c r="I659" s="3" t="s">
        <v>259</v>
      </c>
      <c r="J659" s="18">
        <v>2264</v>
      </c>
      <c r="K659" s="18">
        <v>1</v>
      </c>
    </row>
    <row r="660" spans="1:11" ht="25.8" x14ac:dyDescent="0.5">
      <c r="A660" s="2">
        <v>2021</v>
      </c>
      <c r="B660" s="2" t="s">
        <v>12</v>
      </c>
      <c r="C660" s="2" t="s">
        <v>235</v>
      </c>
      <c r="D660" s="2" t="s">
        <v>188</v>
      </c>
      <c r="E660" s="2" t="s">
        <v>14</v>
      </c>
      <c r="F660" s="3">
        <v>209059.20000000001</v>
      </c>
      <c r="G660" s="3">
        <v>268</v>
      </c>
      <c r="H660" s="3">
        <v>118</v>
      </c>
      <c r="I660" s="3" t="s">
        <v>260</v>
      </c>
      <c r="J660" s="18">
        <v>248</v>
      </c>
      <c r="K660" s="18">
        <v>1</v>
      </c>
    </row>
    <row r="661" spans="1:11" ht="25.8" x14ac:dyDescent="0.5">
      <c r="A661" s="2">
        <v>2021</v>
      </c>
      <c r="B661" s="2" t="s">
        <v>54</v>
      </c>
      <c r="C661" s="2" t="s">
        <v>230</v>
      </c>
      <c r="D661" s="2" t="s">
        <v>67</v>
      </c>
      <c r="E661" s="2" t="s">
        <v>14</v>
      </c>
      <c r="F661" s="3">
        <v>209059.20000000001</v>
      </c>
      <c r="G661" s="3">
        <v>60</v>
      </c>
      <c r="H661" s="3">
        <v>849</v>
      </c>
      <c r="I661" s="3" t="s">
        <v>261</v>
      </c>
      <c r="J661" s="18">
        <v>1112</v>
      </c>
      <c r="K661" s="18">
        <v>1</v>
      </c>
    </row>
    <row r="662" spans="1:11" ht="25.8" x14ac:dyDescent="0.5">
      <c r="A662" s="2">
        <v>2021</v>
      </c>
      <c r="B662" s="2" t="s">
        <v>12</v>
      </c>
      <c r="C662" s="2" t="s">
        <v>236</v>
      </c>
      <c r="D662" s="2" t="s">
        <v>30</v>
      </c>
      <c r="E662" s="2" t="s">
        <v>14</v>
      </c>
      <c r="F662" s="3">
        <v>209059.20000000001</v>
      </c>
      <c r="G662" s="3">
        <v>150</v>
      </c>
      <c r="H662" s="3">
        <v>413</v>
      </c>
      <c r="I662" s="3" t="s">
        <v>250</v>
      </c>
      <c r="J662" s="18">
        <v>1030</v>
      </c>
      <c r="K662" s="18">
        <v>1</v>
      </c>
    </row>
    <row r="663" spans="1:11" ht="25.8" x14ac:dyDescent="0.5">
      <c r="A663" s="2">
        <v>2021</v>
      </c>
      <c r="B663" s="2" t="s">
        <v>23</v>
      </c>
      <c r="C663" s="2" t="s">
        <v>233</v>
      </c>
      <c r="D663" s="2" t="s">
        <v>55</v>
      </c>
      <c r="E663" s="2" t="s">
        <v>38</v>
      </c>
      <c r="F663" s="3">
        <v>209059.20000000001</v>
      </c>
      <c r="G663" s="3">
        <v>843</v>
      </c>
      <c r="H663" s="3">
        <v>839</v>
      </c>
      <c r="I663" s="3" t="s">
        <v>251</v>
      </c>
      <c r="J663" s="18">
        <v>1368</v>
      </c>
      <c r="K663" s="18">
        <v>1</v>
      </c>
    </row>
    <row r="664" spans="1:11" ht="25.8" x14ac:dyDescent="0.5">
      <c r="A664" s="2">
        <v>2021</v>
      </c>
      <c r="B664" s="2" t="s">
        <v>54</v>
      </c>
      <c r="C664" s="2" t="s">
        <v>231</v>
      </c>
      <c r="D664" s="2" t="s">
        <v>179</v>
      </c>
      <c r="E664" s="2" t="s">
        <v>20</v>
      </c>
      <c r="F664" s="3">
        <v>209059.20000000001</v>
      </c>
      <c r="G664" s="3">
        <v>929</v>
      </c>
      <c r="H664" s="3">
        <v>590</v>
      </c>
      <c r="I664" s="3" t="s">
        <v>252</v>
      </c>
      <c r="J664" s="18">
        <v>1206</v>
      </c>
      <c r="K664" s="18">
        <v>1</v>
      </c>
    </row>
    <row r="665" spans="1:11" ht="25.8" x14ac:dyDescent="0.5">
      <c r="A665" s="2">
        <v>2021</v>
      </c>
      <c r="B665" s="2" t="s">
        <v>15</v>
      </c>
      <c r="C665" s="2" t="s">
        <v>234</v>
      </c>
      <c r="D665" s="2" t="s">
        <v>24</v>
      </c>
      <c r="E665" s="2" t="s">
        <v>20</v>
      </c>
      <c r="F665" s="3">
        <v>209059.20000000001</v>
      </c>
      <c r="G665" s="3">
        <v>389</v>
      </c>
      <c r="H665" s="3">
        <v>930</v>
      </c>
      <c r="I665" s="3" t="s">
        <v>253</v>
      </c>
      <c r="J665" s="18">
        <v>2114</v>
      </c>
      <c r="K665" s="18">
        <v>1</v>
      </c>
    </row>
    <row r="666" spans="1:11" ht="25.8" x14ac:dyDescent="0.5">
      <c r="A666" s="2">
        <v>2021</v>
      </c>
      <c r="B666" s="2" t="s">
        <v>8</v>
      </c>
      <c r="C666" s="2" t="s">
        <v>9</v>
      </c>
      <c r="D666" s="2" t="s">
        <v>76</v>
      </c>
      <c r="E666" s="2" t="s">
        <v>20</v>
      </c>
      <c r="F666" s="3">
        <v>209059.20000000001</v>
      </c>
      <c r="G666" s="3">
        <v>256</v>
      </c>
      <c r="H666" s="3">
        <v>839</v>
      </c>
      <c r="I666" s="3" t="s">
        <v>254</v>
      </c>
      <c r="J666" s="18">
        <v>1400</v>
      </c>
      <c r="K666" s="18">
        <v>1</v>
      </c>
    </row>
    <row r="667" spans="1:11" ht="25.8" x14ac:dyDescent="0.5">
      <c r="A667" s="2">
        <v>2021</v>
      </c>
      <c r="B667" s="2" t="s">
        <v>50</v>
      </c>
      <c r="C667" s="2" t="s">
        <v>232</v>
      </c>
      <c r="D667" s="2" t="s">
        <v>28</v>
      </c>
      <c r="E667" s="2" t="s">
        <v>11</v>
      </c>
      <c r="F667" s="3">
        <v>209059.20000000001</v>
      </c>
      <c r="G667" s="3">
        <v>739</v>
      </c>
      <c r="H667" s="3">
        <v>105</v>
      </c>
      <c r="I667" s="3" t="s">
        <v>255</v>
      </c>
      <c r="J667" s="18">
        <v>195</v>
      </c>
      <c r="K667" s="18">
        <v>1</v>
      </c>
    </row>
    <row r="668" spans="1:11" ht="25.8" x14ac:dyDescent="0.5">
      <c r="A668" s="2">
        <v>2021</v>
      </c>
      <c r="B668" s="2" t="s">
        <v>18</v>
      </c>
      <c r="C668" s="2" t="s">
        <v>229</v>
      </c>
      <c r="D668" s="2" t="s">
        <v>87</v>
      </c>
      <c r="E668" s="2" t="s">
        <v>11</v>
      </c>
      <c r="F668" s="3">
        <v>209059.20000000001</v>
      </c>
      <c r="G668" s="3">
        <v>975</v>
      </c>
      <c r="H668" s="3">
        <v>282</v>
      </c>
      <c r="I668" s="3" t="s">
        <v>256</v>
      </c>
      <c r="J668" s="18">
        <v>609</v>
      </c>
      <c r="K668" s="18">
        <v>1</v>
      </c>
    </row>
    <row r="669" spans="1:11" ht="25.8" x14ac:dyDescent="0.5">
      <c r="A669" s="2">
        <v>2021</v>
      </c>
      <c r="B669" s="2" t="s">
        <v>18</v>
      </c>
      <c r="C669" s="2" t="s">
        <v>228</v>
      </c>
      <c r="D669" s="2" t="s">
        <v>44</v>
      </c>
      <c r="E669" s="2" t="s">
        <v>11</v>
      </c>
      <c r="F669" s="3">
        <v>209059.20000000001</v>
      </c>
      <c r="G669" s="3">
        <v>86</v>
      </c>
      <c r="H669" s="3">
        <v>232</v>
      </c>
      <c r="I669" s="3" t="s">
        <v>257</v>
      </c>
      <c r="J669" s="18">
        <v>272</v>
      </c>
      <c r="K669" s="18">
        <v>1</v>
      </c>
    </row>
    <row r="670" spans="1:11" ht="25.8" x14ac:dyDescent="0.5">
      <c r="A670" s="2">
        <v>2021</v>
      </c>
      <c r="B670" s="2" t="s">
        <v>15</v>
      </c>
      <c r="C670" s="2" t="s">
        <v>9</v>
      </c>
      <c r="D670" s="2" t="s">
        <v>224</v>
      </c>
      <c r="E670" s="2" t="s">
        <v>11</v>
      </c>
      <c r="F670" s="3">
        <v>209059.20000000001</v>
      </c>
      <c r="G670" s="3">
        <v>386</v>
      </c>
      <c r="H670" s="3">
        <v>287</v>
      </c>
      <c r="I670" s="3" t="s">
        <v>258</v>
      </c>
      <c r="J670" s="18">
        <v>600</v>
      </c>
      <c r="K670" s="18">
        <v>1</v>
      </c>
    </row>
    <row r="671" spans="1:11" ht="25.8" x14ac:dyDescent="0.5">
      <c r="A671" s="2">
        <v>2021</v>
      </c>
      <c r="B671" s="2" t="s">
        <v>29</v>
      </c>
      <c r="C671" s="2" t="s">
        <v>232</v>
      </c>
      <c r="D671" s="2" t="s">
        <v>57</v>
      </c>
      <c r="E671" s="2" t="s">
        <v>38</v>
      </c>
      <c r="F671" s="3">
        <v>213353</v>
      </c>
      <c r="G671" s="3">
        <v>591</v>
      </c>
      <c r="H671" s="3">
        <v>810</v>
      </c>
      <c r="I671" s="3" t="s">
        <v>259</v>
      </c>
      <c r="J671" s="18">
        <v>907</v>
      </c>
      <c r="K671" s="18">
        <v>1</v>
      </c>
    </row>
    <row r="672" spans="1:11" ht="25.8" x14ac:dyDescent="0.5">
      <c r="A672" s="2">
        <v>2021</v>
      </c>
      <c r="B672" s="2" t="s">
        <v>50</v>
      </c>
      <c r="C672" s="2" t="s">
        <v>230</v>
      </c>
      <c r="D672" s="2" t="s">
        <v>16</v>
      </c>
      <c r="E672" s="2" t="s">
        <v>35</v>
      </c>
      <c r="F672" s="3">
        <v>219683.52</v>
      </c>
      <c r="G672" s="3">
        <v>515</v>
      </c>
      <c r="H672" s="3">
        <v>210</v>
      </c>
      <c r="I672" s="3" t="s">
        <v>260</v>
      </c>
      <c r="J672" s="18">
        <v>328</v>
      </c>
      <c r="K672" s="18">
        <v>1</v>
      </c>
    </row>
    <row r="673" spans="1:11" ht="25.8" x14ac:dyDescent="0.5">
      <c r="A673" s="2">
        <v>2021</v>
      </c>
      <c r="B673" s="2" t="s">
        <v>15</v>
      </c>
      <c r="C673" s="2" t="s">
        <v>233</v>
      </c>
      <c r="D673" s="2" t="s">
        <v>60</v>
      </c>
      <c r="E673" s="2" t="s">
        <v>20</v>
      </c>
      <c r="F673" s="3">
        <v>223444</v>
      </c>
      <c r="G673" s="3">
        <v>299</v>
      </c>
      <c r="H673" s="3">
        <v>975</v>
      </c>
      <c r="I673" s="3" t="s">
        <v>261</v>
      </c>
      <c r="J673" s="18">
        <v>1865</v>
      </c>
      <c r="K673" s="18">
        <v>1</v>
      </c>
    </row>
    <row r="674" spans="1:11" ht="25.8" x14ac:dyDescent="0.5">
      <c r="A674" s="2">
        <v>2021</v>
      </c>
      <c r="B674" s="2" t="s">
        <v>54</v>
      </c>
      <c r="C674" s="2" t="s">
        <v>230</v>
      </c>
      <c r="D674" s="2" t="s">
        <v>13</v>
      </c>
      <c r="E674" s="2" t="s">
        <v>35</v>
      </c>
      <c r="F674" s="3">
        <v>225676.64</v>
      </c>
      <c r="G674" s="3">
        <v>60</v>
      </c>
      <c r="H674" s="3">
        <v>849</v>
      </c>
      <c r="I674" s="3" t="s">
        <v>250</v>
      </c>
      <c r="J674" s="18">
        <v>1850</v>
      </c>
      <c r="K674" s="18">
        <v>1</v>
      </c>
    </row>
    <row r="675" spans="1:11" ht="25.8" x14ac:dyDescent="0.5">
      <c r="A675" s="2">
        <v>2021</v>
      </c>
      <c r="B675" s="2" t="s">
        <v>50</v>
      </c>
      <c r="C675" s="2" t="s">
        <v>234</v>
      </c>
      <c r="D675" s="2" t="s">
        <v>216</v>
      </c>
      <c r="E675" s="2" t="s">
        <v>22</v>
      </c>
      <c r="F675" s="3">
        <v>230400.8</v>
      </c>
      <c r="G675" s="3">
        <v>156</v>
      </c>
      <c r="H675" s="3">
        <v>54</v>
      </c>
      <c r="I675" s="3" t="s">
        <v>251</v>
      </c>
      <c r="J675" s="18">
        <v>108</v>
      </c>
      <c r="K675" s="18">
        <v>1</v>
      </c>
    </row>
    <row r="676" spans="1:11" ht="25.8" x14ac:dyDescent="0.5">
      <c r="A676" s="2">
        <v>2021</v>
      </c>
      <c r="B676" s="2" t="s">
        <v>29</v>
      </c>
      <c r="C676" s="2" t="s">
        <v>234</v>
      </c>
      <c r="D676" s="2" t="s">
        <v>177</v>
      </c>
      <c r="E676" s="2" t="s">
        <v>14</v>
      </c>
      <c r="F676" s="3">
        <v>234766.56</v>
      </c>
      <c r="G676" s="3">
        <v>873</v>
      </c>
      <c r="H676" s="3">
        <v>287</v>
      </c>
      <c r="I676" s="3" t="s">
        <v>252</v>
      </c>
      <c r="J676" s="18">
        <v>431</v>
      </c>
      <c r="K676" s="18">
        <v>1</v>
      </c>
    </row>
    <row r="677" spans="1:11" ht="25.8" x14ac:dyDescent="0.5">
      <c r="A677" s="2">
        <v>2021</v>
      </c>
      <c r="B677" s="2" t="s">
        <v>50</v>
      </c>
      <c r="C677" s="2" t="s">
        <v>234</v>
      </c>
      <c r="D677" s="2" t="s">
        <v>62</v>
      </c>
      <c r="E677" s="2" t="s">
        <v>20</v>
      </c>
      <c r="F677" s="3">
        <v>235018</v>
      </c>
      <c r="G677" s="3">
        <v>610</v>
      </c>
      <c r="H677" s="3">
        <v>851</v>
      </c>
      <c r="I677" s="3" t="s">
        <v>253</v>
      </c>
      <c r="J677" s="18">
        <v>1866</v>
      </c>
      <c r="K677" s="18">
        <v>1</v>
      </c>
    </row>
    <row r="678" spans="1:11" ht="25.8" x14ac:dyDescent="0.5">
      <c r="A678" s="2">
        <v>2021</v>
      </c>
      <c r="B678" s="2" t="s">
        <v>50</v>
      </c>
      <c r="C678" s="2" t="s">
        <v>228</v>
      </c>
      <c r="D678" s="2" t="s">
        <v>189</v>
      </c>
      <c r="E678" s="2" t="s">
        <v>20</v>
      </c>
      <c r="F678" s="3">
        <v>244617.408</v>
      </c>
      <c r="G678" s="3">
        <v>601</v>
      </c>
      <c r="H678" s="3">
        <v>413</v>
      </c>
      <c r="I678" s="3" t="s">
        <v>254</v>
      </c>
      <c r="J678" s="18">
        <v>950</v>
      </c>
      <c r="K678" s="18">
        <v>1</v>
      </c>
    </row>
    <row r="679" spans="1:11" ht="25.8" x14ac:dyDescent="0.5">
      <c r="A679" s="2">
        <v>2021</v>
      </c>
      <c r="B679" s="2" t="s">
        <v>50</v>
      </c>
      <c r="C679" s="2" t="s">
        <v>234</v>
      </c>
      <c r="D679" s="2" t="s">
        <v>138</v>
      </c>
      <c r="E679" s="2" t="s">
        <v>22</v>
      </c>
      <c r="F679" s="3">
        <v>249211.2</v>
      </c>
      <c r="G679" s="3">
        <v>156</v>
      </c>
      <c r="H679" s="3">
        <v>54</v>
      </c>
      <c r="I679" s="3" t="s">
        <v>255</v>
      </c>
      <c r="J679" s="18">
        <v>133</v>
      </c>
      <c r="K679" s="18">
        <v>1</v>
      </c>
    </row>
    <row r="680" spans="1:11" ht="25.8" x14ac:dyDescent="0.5">
      <c r="A680" s="2">
        <v>2021</v>
      </c>
      <c r="B680" s="2" t="s">
        <v>59</v>
      </c>
      <c r="C680" s="2" t="s">
        <v>228</v>
      </c>
      <c r="D680" s="2" t="s">
        <v>45</v>
      </c>
      <c r="E680" s="2" t="s">
        <v>14</v>
      </c>
      <c r="F680" s="3">
        <v>250257.28</v>
      </c>
      <c r="G680" s="3">
        <v>962</v>
      </c>
      <c r="H680" s="3">
        <v>28</v>
      </c>
      <c r="I680" s="3" t="s">
        <v>256</v>
      </c>
      <c r="J680" s="18">
        <v>66</v>
      </c>
      <c r="K680" s="18">
        <v>1</v>
      </c>
    </row>
    <row r="681" spans="1:11" ht="25.8" x14ac:dyDescent="0.5">
      <c r="A681" s="2">
        <v>2021</v>
      </c>
      <c r="B681" s="2" t="s">
        <v>27</v>
      </c>
      <c r="C681" s="2" t="s">
        <v>228</v>
      </c>
      <c r="D681" s="2" t="s">
        <v>197</v>
      </c>
      <c r="E681" s="2" t="s">
        <v>38</v>
      </c>
      <c r="F681" s="3">
        <v>255250.24</v>
      </c>
      <c r="G681" s="3">
        <v>351</v>
      </c>
      <c r="H681" s="3">
        <v>918</v>
      </c>
      <c r="I681" s="3" t="s">
        <v>257</v>
      </c>
      <c r="J681" s="18">
        <v>1658</v>
      </c>
      <c r="K681" s="18">
        <v>1</v>
      </c>
    </row>
    <row r="682" spans="1:11" ht="25.8" x14ac:dyDescent="0.5">
      <c r="A682" s="2">
        <v>2021</v>
      </c>
      <c r="B682" s="2" t="s">
        <v>59</v>
      </c>
      <c r="C682" s="2" t="s">
        <v>9</v>
      </c>
      <c r="D682" s="2" t="s">
        <v>73</v>
      </c>
      <c r="E682" s="2" t="s">
        <v>26</v>
      </c>
      <c r="F682" s="3">
        <v>273798</v>
      </c>
      <c r="G682" s="3">
        <v>342</v>
      </c>
      <c r="H682" s="3">
        <v>968</v>
      </c>
      <c r="I682" s="3" t="s">
        <v>258</v>
      </c>
      <c r="J682" s="18">
        <v>1754</v>
      </c>
      <c r="K682" s="18">
        <v>1</v>
      </c>
    </row>
    <row r="683" spans="1:11" ht="25.8" x14ac:dyDescent="0.5">
      <c r="A683" s="2">
        <v>2021</v>
      </c>
      <c r="B683" s="2" t="s">
        <v>59</v>
      </c>
      <c r="C683" s="2" t="s">
        <v>234</v>
      </c>
      <c r="D683" s="2" t="s">
        <v>25</v>
      </c>
      <c r="E683" s="2" t="s">
        <v>35</v>
      </c>
      <c r="F683" s="3">
        <v>275480.8</v>
      </c>
      <c r="G683" s="3">
        <v>734</v>
      </c>
      <c r="H683" s="3">
        <v>568</v>
      </c>
      <c r="I683" s="3" t="s">
        <v>259</v>
      </c>
      <c r="J683" s="18">
        <v>1263</v>
      </c>
      <c r="K683" s="18">
        <v>1</v>
      </c>
    </row>
    <row r="684" spans="1:11" ht="25.8" x14ac:dyDescent="0.5">
      <c r="A684" s="2">
        <v>2021</v>
      </c>
      <c r="B684" s="2" t="s">
        <v>15</v>
      </c>
      <c r="C684" s="2" t="s">
        <v>234</v>
      </c>
      <c r="D684" s="2" t="s">
        <v>160</v>
      </c>
      <c r="E684" s="2" t="s">
        <v>66</v>
      </c>
      <c r="F684" s="3">
        <v>295234.24</v>
      </c>
      <c r="G684" s="3">
        <v>389</v>
      </c>
      <c r="H684" s="3">
        <v>930</v>
      </c>
      <c r="I684" s="3" t="s">
        <v>260</v>
      </c>
      <c r="J684" s="18">
        <v>1734</v>
      </c>
      <c r="K684" s="18">
        <v>1</v>
      </c>
    </row>
    <row r="685" spans="1:11" ht="25.8" x14ac:dyDescent="0.5">
      <c r="A685" s="2">
        <v>2021</v>
      </c>
      <c r="B685" s="2" t="s">
        <v>12</v>
      </c>
      <c r="C685" s="2" t="s">
        <v>234</v>
      </c>
      <c r="D685" s="2" t="s">
        <v>75</v>
      </c>
      <c r="E685" s="2" t="s">
        <v>14</v>
      </c>
      <c r="F685" s="3">
        <v>304344</v>
      </c>
      <c r="G685" s="3">
        <v>1000</v>
      </c>
      <c r="H685" s="3">
        <v>597</v>
      </c>
      <c r="I685" s="3" t="s">
        <v>261</v>
      </c>
      <c r="J685" s="18">
        <v>894</v>
      </c>
      <c r="K685" s="18">
        <v>1</v>
      </c>
    </row>
    <row r="686" spans="1:11" ht="25.8" x14ac:dyDescent="0.5">
      <c r="A686" s="2">
        <v>2021</v>
      </c>
      <c r="B686" s="2" t="s">
        <v>18</v>
      </c>
      <c r="C686" s="2" t="s">
        <v>235</v>
      </c>
      <c r="D686" s="2" t="s">
        <v>129</v>
      </c>
      <c r="E686" s="2" t="s">
        <v>11</v>
      </c>
      <c r="F686" s="3">
        <v>304622.08000000002</v>
      </c>
      <c r="G686" s="3">
        <v>537</v>
      </c>
      <c r="H686" s="3">
        <v>970</v>
      </c>
      <c r="I686" s="3" t="s">
        <v>250</v>
      </c>
      <c r="J686" s="18">
        <v>1312</v>
      </c>
      <c r="K686" s="18">
        <v>1</v>
      </c>
    </row>
    <row r="687" spans="1:11" ht="25.8" x14ac:dyDescent="0.5">
      <c r="A687" s="2">
        <v>2021</v>
      </c>
      <c r="B687" s="2" t="s">
        <v>54</v>
      </c>
      <c r="C687" s="2" t="s">
        <v>231</v>
      </c>
      <c r="D687" s="2" t="s">
        <v>125</v>
      </c>
      <c r="E687" s="2" t="s">
        <v>26</v>
      </c>
      <c r="F687" s="3">
        <v>306653.76</v>
      </c>
      <c r="G687" s="3">
        <v>929</v>
      </c>
      <c r="H687" s="3">
        <v>590</v>
      </c>
      <c r="I687" s="3" t="s">
        <v>251</v>
      </c>
      <c r="J687" s="18">
        <v>1125</v>
      </c>
      <c r="K687" s="18">
        <v>1</v>
      </c>
    </row>
    <row r="688" spans="1:11" ht="25.8" x14ac:dyDescent="0.5">
      <c r="A688" s="2">
        <v>2021</v>
      </c>
      <c r="B688" s="2" t="s">
        <v>50</v>
      </c>
      <c r="C688" s="2" t="s">
        <v>234</v>
      </c>
      <c r="D688" s="2" t="s">
        <v>82</v>
      </c>
      <c r="E688" s="2" t="s">
        <v>20</v>
      </c>
      <c r="F688" s="3">
        <v>343524.16</v>
      </c>
      <c r="G688" s="3">
        <v>610</v>
      </c>
      <c r="H688" s="3">
        <v>851</v>
      </c>
      <c r="I688" s="3" t="s">
        <v>252</v>
      </c>
      <c r="J688" s="18">
        <v>1208</v>
      </c>
      <c r="K688" s="18">
        <v>1</v>
      </c>
    </row>
    <row r="689" spans="1:11" ht="25.8" x14ac:dyDescent="0.5">
      <c r="A689" s="2">
        <v>2021</v>
      </c>
      <c r="B689" s="2" t="s">
        <v>8</v>
      </c>
      <c r="C689" s="2" t="s">
        <v>234</v>
      </c>
      <c r="D689" s="2" t="s">
        <v>84</v>
      </c>
      <c r="E689" s="2" t="s">
        <v>22</v>
      </c>
      <c r="F689" s="3">
        <v>347068</v>
      </c>
      <c r="G689" s="3">
        <v>137</v>
      </c>
      <c r="H689" s="3">
        <v>784</v>
      </c>
      <c r="I689" s="3" t="s">
        <v>253</v>
      </c>
      <c r="J689" s="18">
        <v>1185</v>
      </c>
      <c r="K689" s="18">
        <v>1</v>
      </c>
    </row>
    <row r="690" spans="1:11" ht="25.8" x14ac:dyDescent="0.5">
      <c r="A690" s="2">
        <v>2021</v>
      </c>
      <c r="B690" s="2" t="s">
        <v>18</v>
      </c>
      <c r="C690" s="2" t="s">
        <v>233</v>
      </c>
      <c r="D690" s="2" t="s">
        <v>168</v>
      </c>
      <c r="E690" s="2" t="s">
        <v>22</v>
      </c>
      <c r="F690" s="3">
        <v>349305.59999999998</v>
      </c>
      <c r="G690" s="3">
        <v>461</v>
      </c>
      <c r="H690" s="3">
        <v>615</v>
      </c>
      <c r="I690" s="3" t="s">
        <v>254</v>
      </c>
      <c r="J690" s="18">
        <v>1150</v>
      </c>
      <c r="K690" s="18">
        <v>1</v>
      </c>
    </row>
    <row r="691" spans="1:11" ht="25.8" x14ac:dyDescent="0.5">
      <c r="A691" s="2">
        <v>2021</v>
      </c>
      <c r="B691" s="2" t="s">
        <v>8</v>
      </c>
      <c r="C691" s="2" t="s">
        <v>229</v>
      </c>
      <c r="D691" s="2" t="s">
        <v>42</v>
      </c>
      <c r="E691" s="2" t="s">
        <v>22</v>
      </c>
      <c r="F691" s="3">
        <v>352427.04</v>
      </c>
      <c r="G691" s="3">
        <v>615</v>
      </c>
      <c r="H691" s="3">
        <v>851</v>
      </c>
      <c r="I691" s="3" t="s">
        <v>255</v>
      </c>
      <c r="J691" s="18">
        <v>1237</v>
      </c>
      <c r="K691" s="18">
        <v>1</v>
      </c>
    </row>
    <row r="692" spans="1:11" ht="25.8" x14ac:dyDescent="0.5">
      <c r="A692" s="2">
        <v>2021</v>
      </c>
      <c r="B692" s="2" t="s">
        <v>15</v>
      </c>
      <c r="C692" s="2" t="s">
        <v>9</v>
      </c>
      <c r="D692" s="2" t="s">
        <v>31</v>
      </c>
      <c r="E692" s="2" t="s">
        <v>20</v>
      </c>
      <c r="F692" s="3">
        <v>356908.16</v>
      </c>
      <c r="G692" s="3">
        <v>774</v>
      </c>
      <c r="H692" s="3">
        <v>33</v>
      </c>
      <c r="I692" s="3" t="s">
        <v>256</v>
      </c>
      <c r="J692" s="18">
        <v>61</v>
      </c>
      <c r="K692" s="18">
        <v>1</v>
      </c>
    </row>
    <row r="693" spans="1:11" ht="25.8" x14ac:dyDescent="0.5">
      <c r="A693" s="2">
        <v>2021</v>
      </c>
      <c r="B693" s="2" t="s">
        <v>12</v>
      </c>
      <c r="C693" s="2" t="s">
        <v>236</v>
      </c>
      <c r="D693" s="2" t="s">
        <v>58</v>
      </c>
      <c r="E693" s="2" t="s">
        <v>26</v>
      </c>
      <c r="F693" s="3">
        <v>367728.48</v>
      </c>
      <c r="G693" s="3">
        <v>957</v>
      </c>
      <c r="H693" s="3">
        <v>210</v>
      </c>
      <c r="I693" s="3" t="s">
        <v>257</v>
      </c>
      <c r="J693" s="18">
        <v>371</v>
      </c>
      <c r="K693" s="18">
        <v>1</v>
      </c>
    </row>
    <row r="694" spans="1:11" ht="25.8" x14ac:dyDescent="0.5">
      <c r="A694" s="2">
        <v>2021</v>
      </c>
      <c r="B694" s="2" t="s">
        <v>50</v>
      </c>
      <c r="C694" s="2" t="s">
        <v>236</v>
      </c>
      <c r="D694" s="2" t="s">
        <v>195</v>
      </c>
      <c r="E694" s="2" t="s">
        <v>66</v>
      </c>
      <c r="F694" s="3">
        <v>376527</v>
      </c>
      <c r="G694" s="3">
        <v>934</v>
      </c>
      <c r="H694" s="3">
        <v>75</v>
      </c>
      <c r="I694" s="3" t="s">
        <v>258</v>
      </c>
      <c r="J694" s="18">
        <v>170</v>
      </c>
      <c r="K694" s="18">
        <v>1</v>
      </c>
    </row>
    <row r="695" spans="1:11" ht="25.8" x14ac:dyDescent="0.5">
      <c r="A695" s="2">
        <v>2021</v>
      </c>
      <c r="B695" s="2" t="s">
        <v>59</v>
      </c>
      <c r="C695" s="2" t="s">
        <v>229</v>
      </c>
      <c r="D695" s="2" t="s">
        <v>143</v>
      </c>
      <c r="E695" s="2" t="s">
        <v>22</v>
      </c>
      <c r="F695" s="3">
        <v>388716.16</v>
      </c>
      <c r="G695" s="3">
        <v>871</v>
      </c>
      <c r="H695" s="3">
        <v>810</v>
      </c>
      <c r="I695" s="3" t="s">
        <v>259</v>
      </c>
      <c r="J695" s="18">
        <v>1976</v>
      </c>
      <c r="K695" s="18">
        <v>1</v>
      </c>
    </row>
    <row r="696" spans="1:11" ht="25.8" x14ac:dyDescent="0.5">
      <c r="A696" s="2">
        <v>2021</v>
      </c>
      <c r="B696" s="2" t="s">
        <v>8</v>
      </c>
      <c r="C696" s="2" t="s">
        <v>234</v>
      </c>
      <c r="D696" s="2" t="s">
        <v>64</v>
      </c>
      <c r="E696" s="2" t="s">
        <v>14</v>
      </c>
      <c r="F696" s="3">
        <v>390192.32</v>
      </c>
      <c r="G696" s="3">
        <v>137</v>
      </c>
      <c r="H696" s="3">
        <v>784</v>
      </c>
      <c r="I696" s="3" t="s">
        <v>260</v>
      </c>
      <c r="J696" s="18">
        <v>1134</v>
      </c>
      <c r="K696" s="18">
        <v>1</v>
      </c>
    </row>
    <row r="697" spans="1:11" ht="25.8" x14ac:dyDescent="0.5">
      <c r="A697" s="2">
        <v>2021</v>
      </c>
      <c r="B697" s="2" t="s">
        <v>54</v>
      </c>
      <c r="C697" s="2" t="s">
        <v>230</v>
      </c>
      <c r="D697" s="2" t="s">
        <v>151</v>
      </c>
      <c r="E697" s="2" t="s">
        <v>35</v>
      </c>
      <c r="F697" s="3">
        <v>396397.12</v>
      </c>
      <c r="G697" s="3">
        <v>60</v>
      </c>
      <c r="H697" s="3">
        <v>849</v>
      </c>
      <c r="I697" s="3" t="s">
        <v>261</v>
      </c>
      <c r="J697" s="18">
        <v>1570</v>
      </c>
      <c r="K697" s="18">
        <v>1</v>
      </c>
    </row>
    <row r="698" spans="1:11" ht="25.8" x14ac:dyDescent="0.5">
      <c r="A698" s="2">
        <v>2021</v>
      </c>
      <c r="B698" s="2" t="s">
        <v>18</v>
      </c>
      <c r="C698" s="2" t="s">
        <v>228</v>
      </c>
      <c r="D698" s="2" t="s">
        <v>148</v>
      </c>
      <c r="E698" s="2" t="s">
        <v>35</v>
      </c>
      <c r="F698" s="3">
        <v>396397.12</v>
      </c>
      <c r="G698" s="3">
        <v>597</v>
      </c>
      <c r="H698" s="3">
        <v>287</v>
      </c>
      <c r="I698" s="3" t="s">
        <v>250</v>
      </c>
      <c r="J698" s="18">
        <v>554</v>
      </c>
      <c r="K698" s="18">
        <v>1</v>
      </c>
    </row>
    <row r="699" spans="1:11" ht="25.8" x14ac:dyDescent="0.5">
      <c r="A699" s="2">
        <v>2021</v>
      </c>
      <c r="B699" s="2" t="s">
        <v>18</v>
      </c>
      <c r="C699" s="2" t="s">
        <v>232</v>
      </c>
      <c r="D699" s="2" t="s">
        <v>142</v>
      </c>
      <c r="E699" s="2" t="s">
        <v>22</v>
      </c>
      <c r="F699" s="3">
        <v>396397.12</v>
      </c>
      <c r="G699" s="3">
        <v>61</v>
      </c>
      <c r="H699" s="3">
        <v>28</v>
      </c>
      <c r="I699" s="3" t="s">
        <v>251</v>
      </c>
      <c r="J699" s="18">
        <v>34</v>
      </c>
      <c r="K699" s="18">
        <v>1</v>
      </c>
    </row>
    <row r="700" spans="1:11" ht="25.8" x14ac:dyDescent="0.5">
      <c r="A700" s="2">
        <v>2021</v>
      </c>
      <c r="B700" s="2" t="s">
        <v>54</v>
      </c>
      <c r="C700" s="2" t="s">
        <v>233</v>
      </c>
      <c r="D700" s="2" t="s">
        <v>158</v>
      </c>
      <c r="E700" s="2" t="s">
        <v>35</v>
      </c>
      <c r="F700" s="3">
        <v>405587.83999999997</v>
      </c>
      <c r="G700" s="3">
        <v>749</v>
      </c>
      <c r="H700" s="3">
        <v>648</v>
      </c>
      <c r="I700" s="3" t="s">
        <v>252</v>
      </c>
      <c r="J700" s="18">
        <v>1255</v>
      </c>
      <c r="K700" s="18">
        <v>1</v>
      </c>
    </row>
    <row r="701" spans="1:11" ht="25.8" x14ac:dyDescent="0.5">
      <c r="A701" s="2">
        <v>2021</v>
      </c>
      <c r="B701" s="2" t="s">
        <v>18</v>
      </c>
      <c r="C701" s="2" t="s">
        <v>234</v>
      </c>
      <c r="D701" s="2" t="s">
        <v>170</v>
      </c>
      <c r="E701" s="2" t="s">
        <v>14</v>
      </c>
      <c r="F701" s="3">
        <v>421710.24</v>
      </c>
      <c r="G701" s="3">
        <v>232</v>
      </c>
      <c r="H701" s="3">
        <v>351</v>
      </c>
      <c r="I701" s="3" t="s">
        <v>253</v>
      </c>
      <c r="J701" s="18">
        <v>722</v>
      </c>
      <c r="K701" s="18">
        <v>1</v>
      </c>
    </row>
    <row r="702" spans="1:11" ht="25.8" x14ac:dyDescent="0.5">
      <c r="A702" s="2">
        <v>2021</v>
      </c>
      <c r="B702" s="2" t="s">
        <v>27</v>
      </c>
      <c r="C702" s="2" t="s">
        <v>234</v>
      </c>
      <c r="D702" s="2" t="s">
        <v>105</v>
      </c>
      <c r="E702" s="2" t="s">
        <v>26</v>
      </c>
      <c r="F702" s="3">
        <v>428719</v>
      </c>
      <c r="G702" s="3">
        <v>499</v>
      </c>
      <c r="H702" s="3">
        <v>568</v>
      </c>
      <c r="I702" s="3" t="s">
        <v>254</v>
      </c>
      <c r="J702" s="18">
        <v>787</v>
      </c>
      <c r="K702" s="18">
        <v>1</v>
      </c>
    </row>
    <row r="703" spans="1:11" ht="25.8" x14ac:dyDescent="0.5">
      <c r="A703" s="2">
        <v>2021</v>
      </c>
      <c r="B703" s="2" t="s">
        <v>54</v>
      </c>
      <c r="C703" s="2" t="s">
        <v>9</v>
      </c>
      <c r="D703" s="2" t="s">
        <v>90</v>
      </c>
      <c r="E703" s="2" t="s">
        <v>22</v>
      </c>
      <c r="F703" s="3">
        <v>429470.71999999997</v>
      </c>
      <c r="G703" s="3">
        <v>590</v>
      </c>
      <c r="H703" s="3">
        <v>268</v>
      </c>
      <c r="I703" s="3" t="s">
        <v>255</v>
      </c>
      <c r="J703" s="18">
        <v>430</v>
      </c>
      <c r="K703" s="18">
        <v>1</v>
      </c>
    </row>
    <row r="704" spans="1:11" ht="25.8" x14ac:dyDescent="0.5">
      <c r="A704" s="2">
        <v>2021</v>
      </c>
      <c r="B704" s="2" t="s">
        <v>15</v>
      </c>
      <c r="C704" s="2" t="s">
        <v>9</v>
      </c>
      <c r="D704" s="2" t="s">
        <v>200</v>
      </c>
      <c r="E704" s="2" t="s">
        <v>14</v>
      </c>
      <c r="F704" s="3">
        <v>430756</v>
      </c>
      <c r="G704" s="3">
        <v>386</v>
      </c>
      <c r="H704" s="3">
        <v>287</v>
      </c>
      <c r="I704" s="3" t="s">
        <v>256</v>
      </c>
      <c r="J704" s="18">
        <v>426</v>
      </c>
      <c r="K704" s="18">
        <v>1</v>
      </c>
    </row>
    <row r="705" spans="1:11" ht="25.8" x14ac:dyDescent="0.5">
      <c r="A705" s="2">
        <v>2021</v>
      </c>
      <c r="B705" s="2" t="s">
        <v>54</v>
      </c>
      <c r="C705" s="2" t="s">
        <v>228</v>
      </c>
      <c r="D705" s="2" t="s">
        <v>185</v>
      </c>
      <c r="E705" s="2" t="s">
        <v>14</v>
      </c>
      <c r="F705" s="3">
        <v>437881.92</v>
      </c>
      <c r="G705" s="3">
        <v>105</v>
      </c>
      <c r="H705" s="3">
        <v>924</v>
      </c>
      <c r="I705" s="3" t="s">
        <v>257</v>
      </c>
      <c r="J705" s="18">
        <v>1345</v>
      </c>
      <c r="K705" s="18">
        <v>1</v>
      </c>
    </row>
    <row r="706" spans="1:11" ht="25.8" x14ac:dyDescent="0.5">
      <c r="A706" s="2">
        <v>2021</v>
      </c>
      <c r="B706" s="2" t="s">
        <v>50</v>
      </c>
      <c r="C706" s="2" t="s">
        <v>232</v>
      </c>
      <c r="D706" s="2" t="s">
        <v>121</v>
      </c>
      <c r="E706" s="2" t="s">
        <v>38</v>
      </c>
      <c r="F706" s="3">
        <v>439391.68</v>
      </c>
      <c r="G706" s="3">
        <v>739</v>
      </c>
      <c r="H706" s="3">
        <v>105</v>
      </c>
      <c r="I706" s="3" t="s">
        <v>258</v>
      </c>
      <c r="J706" s="18">
        <v>125</v>
      </c>
      <c r="K706" s="18">
        <v>1</v>
      </c>
    </row>
    <row r="707" spans="1:11" ht="25.8" x14ac:dyDescent="0.5">
      <c r="A707" s="2">
        <v>2021</v>
      </c>
      <c r="B707" s="2" t="s">
        <v>18</v>
      </c>
      <c r="C707" s="2" t="s">
        <v>230</v>
      </c>
      <c r="D707" s="2" t="s">
        <v>70</v>
      </c>
      <c r="E707" s="2" t="s">
        <v>38</v>
      </c>
      <c r="F707" s="3">
        <v>443828</v>
      </c>
      <c r="G707" s="3">
        <v>249</v>
      </c>
      <c r="H707" s="3">
        <v>975</v>
      </c>
      <c r="I707" s="3" t="s">
        <v>259</v>
      </c>
      <c r="J707" s="18">
        <v>1296</v>
      </c>
      <c r="K707" s="18">
        <v>1</v>
      </c>
    </row>
    <row r="708" spans="1:11" ht="25.8" x14ac:dyDescent="0.5">
      <c r="A708" s="2">
        <v>2021</v>
      </c>
      <c r="B708" s="2" t="s">
        <v>23</v>
      </c>
      <c r="C708" s="2" t="s">
        <v>228</v>
      </c>
      <c r="D708" s="2" t="s">
        <v>201</v>
      </c>
      <c r="E708" s="2" t="s">
        <v>11</v>
      </c>
      <c r="F708" s="3">
        <v>457304.96</v>
      </c>
      <c r="G708" s="3">
        <v>573</v>
      </c>
      <c r="H708" s="3">
        <v>784</v>
      </c>
      <c r="I708" s="3" t="s">
        <v>260</v>
      </c>
      <c r="J708" s="18">
        <v>1885</v>
      </c>
      <c r="K708" s="18">
        <v>1</v>
      </c>
    </row>
    <row r="709" spans="1:11" ht="25.8" x14ac:dyDescent="0.5">
      <c r="A709" s="2">
        <v>2021</v>
      </c>
      <c r="B709" s="2" t="s">
        <v>12</v>
      </c>
      <c r="C709" s="2" t="s">
        <v>235</v>
      </c>
      <c r="D709" s="2" t="s">
        <v>186</v>
      </c>
      <c r="E709" s="2" t="s">
        <v>38</v>
      </c>
      <c r="F709" s="3">
        <v>461137.6</v>
      </c>
      <c r="G709" s="3">
        <v>268</v>
      </c>
      <c r="H709" s="3">
        <v>118</v>
      </c>
      <c r="I709" s="3" t="s">
        <v>261</v>
      </c>
      <c r="J709" s="18">
        <v>246</v>
      </c>
      <c r="K709" s="18">
        <v>1</v>
      </c>
    </row>
    <row r="710" spans="1:11" ht="25.8" x14ac:dyDescent="0.5">
      <c r="A710" s="2">
        <v>2021</v>
      </c>
      <c r="B710" s="2" t="s">
        <v>18</v>
      </c>
      <c r="C710" s="2" t="s">
        <v>229</v>
      </c>
      <c r="D710" s="2" t="s">
        <v>203</v>
      </c>
      <c r="E710" s="2" t="s">
        <v>14</v>
      </c>
      <c r="F710" s="3">
        <v>462172</v>
      </c>
      <c r="G710" s="3">
        <v>975</v>
      </c>
      <c r="H710" s="3">
        <v>282</v>
      </c>
      <c r="I710" s="3" t="s">
        <v>250</v>
      </c>
      <c r="J710" s="18">
        <v>374</v>
      </c>
      <c r="K710" s="18">
        <v>1</v>
      </c>
    </row>
    <row r="711" spans="1:11" ht="25.8" x14ac:dyDescent="0.5">
      <c r="A711" s="2">
        <v>2021</v>
      </c>
      <c r="B711" s="2" t="s">
        <v>18</v>
      </c>
      <c r="C711" s="2" t="s">
        <v>228</v>
      </c>
      <c r="D711" s="2" t="s">
        <v>74</v>
      </c>
      <c r="E711" s="2" t="s">
        <v>11</v>
      </c>
      <c r="F711" s="3">
        <v>462946.4</v>
      </c>
      <c r="G711" s="3">
        <v>86</v>
      </c>
      <c r="H711" s="3">
        <v>232</v>
      </c>
      <c r="I711" s="3" t="s">
        <v>251</v>
      </c>
      <c r="J711" s="18">
        <v>369</v>
      </c>
      <c r="K711" s="18">
        <v>1</v>
      </c>
    </row>
    <row r="712" spans="1:11" ht="25.8" x14ac:dyDescent="0.5">
      <c r="A712" s="2">
        <v>2021</v>
      </c>
      <c r="B712" s="2" t="s">
        <v>15</v>
      </c>
      <c r="C712" s="2" t="s">
        <v>9</v>
      </c>
      <c r="D712" s="2" t="s">
        <v>32</v>
      </c>
      <c r="E712" s="2" t="s">
        <v>20</v>
      </c>
      <c r="F712" s="3">
        <v>466324.32</v>
      </c>
      <c r="G712" s="3">
        <v>774</v>
      </c>
      <c r="H712" s="3">
        <v>33</v>
      </c>
      <c r="I712" s="3" t="s">
        <v>252</v>
      </c>
      <c r="J712" s="18">
        <v>72</v>
      </c>
      <c r="K712" s="18">
        <v>1</v>
      </c>
    </row>
    <row r="713" spans="1:11" ht="25.8" x14ac:dyDescent="0.5">
      <c r="A713" s="2">
        <v>2021</v>
      </c>
      <c r="B713" s="2" t="s">
        <v>27</v>
      </c>
      <c r="C713" s="2" t="s">
        <v>235</v>
      </c>
      <c r="D713" s="2" t="s">
        <v>116</v>
      </c>
      <c r="E713" s="2" t="s">
        <v>66</v>
      </c>
      <c r="F713" s="3">
        <v>466533</v>
      </c>
      <c r="G713" s="3">
        <v>98</v>
      </c>
      <c r="H713" s="3">
        <v>968</v>
      </c>
      <c r="I713" s="3" t="s">
        <v>253</v>
      </c>
      <c r="J713" s="18">
        <v>1597</v>
      </c>
      <c r="K713" s="18">
        <v>1</v>
      </c>
    </row>
    <row r="714" spans="1:11" ht="25.8" x14ac:dyDescent="0.5">
      <c r="A714" s="2">
        <v>2021</v>
      </c>
      <c r="B714" s="2" t="s">
        <v>59</v>
      </c>
      <c r="C714" s="2" t="s">
        <v>9</v>
      </c>
      <c r="D714" s="2" t="s">
        <v>198</v>
      </c>
      <c r="E714" s="2" t="s">
        <v>26</v>
      </c>
      <c r="F714" s="3">
        <v>466947.04</v>
      </c>
      <c r="G714" s="3">
        <v>342</v>
      </c>
      <c r="H714" s="3">
        <v>968</v>
      </c>
      <c r="I714" s="3" t="s">
        <v>254</v>
      </c>
      <c r="J714" s="18">
        <v>1702</v>
      </c>
      <c r="K714" s="18">
        <v>1</v>
      </c>
    </row>
    <row r="715" spans="1:11" ht="25.8" x14ac:dyDescent="0.5">
      <c r="A715" s="2">
        <v>2021</v>
      </c>
      <c r="B715" s="2" t="s">
        <v>50</v>
      </c>
      <c r="C715" s="2" t="s">
        <v>236</v>
      </c>
      <c r="D715" s="2" t="s">
        <v>63</v>
      </c>
      <c r="E715" s="2" t="s">
        <v>26</v>
      </c>
      <c r="F715" s="3">
        <v>472993.92</v>
      </c>
      <c r="G715" s="3">
        <v>479</v>
      </c>
      <c r="H715" s="3">
        <v>934</v>
      </c>
      <c r="I715" s="3" t="s">
        <v>255</v>
      </c>
      <c r="J715" s="18">
        <v>1791</v>
      </c>
      <c r="K715" s="18">
        <v>1</v>
      </c>
    </row>
    <row r="716" spans="1:11" ht="25.8" x14ac:dyDescent="0.5">
      <c r="A716" s="2">
        <v>2021</v>
      </c>
      <c r="B716" s="2" t="s">
        <v>29</v>
      </c>
      <c r="C716" s="2" t="s">
        <v>231</v>
      </c>
      <c r="D716" s="2" t="s">
        <v>225</v>
      </c>
      <c r="E716" s="2" t="s">
        <v>26</v>
      </c>
      <c r="F716" s="3">
        <v>482446.72</v>
      </c>
      <c r="G716" s="3">
        <v>869</v>
      </c>
      <c r="H716" s="3">
        <v>930</v>
      </c>
      <c r="I716" s="3" t="s">
        <v>256</v>
      </c>
      <c r="J716" s="18">
        <v>2317</v>
      </c>
      <c r="K716" s="18">
        <v>1</v>
      </c>
    </row>
    <row r="717" spans="1:11" ht="25.8" x14ac:dyDescent="0.5">
      <c r="A717" s="2">
        <v>2021</v>
      </c>
      <c r="B717" s="2" t="s">
        <v>50</v>
      </c>
      <c r="C717" s="2" t="s">
        <v>230</v>
      </c>
      <c r="D717" s="2" t="s">
        <v>21</v>
      </c>
      <c r="E717" s="2" t="s">
        <v>35</v>
      </c>
      <c r="F717" s="3">
        <v>482446.72</v>
      </c>
      <c r="G717" s="3">
        <v>515</v>
      </c>
      <c r="H717" s="3">
        <v>210</v>
      </c>
      <c r="I717" s="3" t="s">
        <v>257</v>
      </c>
      <c r="J717" s="18">
        <v>347</v>
      </c>
      <c r="K717" s="18">
        <v>1</v>
      </c>
    </row>
    <row r="718" spans="1:11" ht="25.8" x14ac:dyDescent="0.5">
      <c r="A718" s="2">
        <v>2021</v>
      </c>
      <c r="B718" s="2" t="s">
        <v>12</v>
      </c>
      <c r="C718" s="2" t="s">
        <v>236</v>
      </c>
      <c r="D718" s="2" t="s">
        <v>48</v>
      </c>
      <c r="E718" s="2" t="s">
        <v>66</v>
      </c>
      <c r="F718" s="3">
        <v>482446.72</v>
      </c>
      <c r="G718" s="3">
        <v>970</v>
      </c>
      <c r="H718" s="3">
        <v>616</v>
      </c>
      <c r="I718" s="3" t="s">
        <v>258</v>
      </c>
      <c r="J718" s="18">
        <v>1335</v>
      </c>
      <c r="K718" s="18">
        <v>1</v>
      </c>
    </row>
    <row r="719" spans="1:11" ht="25.8" x14ac:dyDescent="0.5">
      <c r="A719" s="2">
        <v>2021</v>
      </c>
      <c r="B719" s="2" t="s">
        <v>59</v>
      </c>
      <c r="C719" s="2" t="s">
        <v>234</v>
      </c>
      <c r="D719" s="2" t="s">
        <v>69</v>
      </c>
      <c r="E719" s="2" t="s">
        <v>35</v>
      </c>
      <c r="F719" s="3">
        <v>483679.83999999997</v>
      </c>
      <c r="G719" s="3">
        <v>734</v>
      </c>
      <c r="H719" s="3">
        <v>568</v>
      </c>
      <c r="I719" s="3" t="s">
        <v>259</v>
      </c>
      <c r="J719" s="18">
        <v>1091</v>
      </c>
      <c r="K719" s="18">
        <v>1</v>
      </c>
    </row>
    <row r="720" spans="1:11" ht="25.8" x14ac:dyDescent="0.5">
      <c r="A720" s="2">
        <v>2021</v>
      </c>
      <c r="B720" s="2" t="s">
        <v>54</v>
      </c>
      <c r="C720" s="2" t="s">
        <v>231</v>
      </c>
      <c r="D720" s="2" t="s">
        <v>49</v>
      </c>
      <c r="E720" s="2" t="s">
        <v>26</v>
      </c>
      <c r="F720" s="3">
        <v>491219.68</v>
      </c>
      <c r="G720" s="3">
        <v>929</v>
      </c>
      <c r="H720" s="3">
        <v>590</v>
      </c>
      <c r="I720" s="3" t="s">
        <v>260</v>
      </c>
      <c r="J720" s="18">
        <v>929</v>
      </c>
      <c r="K720" s="18">
        <v>1</v>
      </c>
    </row>
    <row r="721" spans="1:11" ht="25.8" x14ac:dyDescent="0.5">
      <c r="A721" s="2">
        <v>2021</v>
      </c>
      <c r="B721" s="2" t="s">
        <v>18</v>
      </c>
      <c r="C721" s="2" t="s">
        <v>233</v>
      </c>
      <c r="D721" s="2" t="s">
        <v>97</v>
      </c>
      <c r="E721" s="2" t="s">
        <v>22</v>
      </c>
      <c r="F721" s="3">
        <v>508671.52</v>
      </c>
      <c r="G721" s="3">
        <v>461</v>
      </c>
      <c r="H721" s="3">
        <v>615</v>
      </c>
      <c r="I721" s="3" t="s">
        <v>261</v>
      </c>
      <c r="J721" s="18">
        <v>1333</v>
      </c>
      <c r="K721" s="18">
        <v>1</v>
      </c>
    </row>
    <row r="722" spans="1:11" ht="25.8" x14ac:dyDescent="0.5">
      <c r="A722" s="2">
        <v>2021</v>
      </c>
      <c r="B722" s="2" t="s">
        <v>29</v>
      </c>
      <c r="C722" s="2" t="s">
        <v>232</v>
      </c>
      <c r="D722" s="2" t="s">
        <v>159</v>
      </c>
      <c r="E722" s="2" t="s">
        <v>38</v>
      </c>
      <c r="F722" s="3">
        <v>511374.08000000002</v>
      </c>
      <c r="G722" s="3">
        <v>591</v>
      </c>
      <c r="H722" s="3">
        <v>810</v>
      </c>
      <c r="I722" s="3" t="s">
        <v>250</v>
      </c>
      <c r="J722" s="18">
        <v>927</v>
      </c>
      <c r="K722" s="18">
        <v>1</v>
      </c>
    </row>
    <row r="723" spans="1:11" ht="25.8" x14ac:dyDescent="0.5">
      <c r="A723" s="2">
        <v>2021</v>
      </c>
      <c r="B723" s="2" t="s">
        <v>50</v>
      </c>
      <c r="C723" s="2" t="s">
        <v>9</v>
      </c>
      <c r="D723" s="2" t="s">
        <v>222</v>
      </c>
      <c r="E723" s="2" t="s">
        <v>22</v>
      </c>
      <c r="F723" s="3">
        <v>513714.88</v>
      </c>
      <c r="G723" s="3">
        <v>616</v>
      </c>
      <c r="H723" s="3">
        <v>398</v>
      </c>
      <c r="I723" s="3" t="s">
        <v>251</v>
      </c>
      <c r="J723" s="18">
        <v>857</v>
      </c>
      <c r="K723" s="18">
        <v>1</v>
      </c>
    </row>
    <row r="724" spans="1:11" ht="25.8" x14ac:dyDescent="0.5">
      <c r="A724" s="2">
        <v>2021</v>
      </c>
      <c r="B724" s="2" t="s">
        <v>23</v>
      </c>
      <c r="C724" s="2" t="s">
        <v>235</v>
      </c>
      <c r="D724" s="2" t="s">
        <v>128</v>
      </c>
      <c r="E724" s="2" t="s">
        <v>20</v>
      </c>
      <c r="F724" s="3">
        <v>516552</v>
      </c>
      <c r="G724" s="3">
        <v>911</v>
      </c>
      <c r="H724" s="3">
        <v>105</v>
      </c>
      <c r="I724" s="3" t="s">
        <v>252</v>
      </c>
      <c r="J724" s="18">
        <v>238</v>
      </c>
      <c r="K724" s="18">
        <v>1</v>
      </c>
    </row>
    <row r="725" spans="1:11" ht="25.8" x14ac:dyDescent="0.5">
      <c r="A725" s="2">
        <v>2021</v>
      </c>
      <c r="B725" s="2" t="s">
        <v>23</v>
      </c>
      <c r="C725" s="2" t="s">
        <v>235</v>
      </c>
      <c r="D725" s="2" t="s">
        <v>113</v>
      </c>
      <c r="E725" s="2" t="s">
        <v>20</v>
      </c>
      <c r="F725" s="3">
        <v>517632.64</v>
      </c>
      <c r="G725" s="3">
        <v>911</v>
      </c>
      <c r="H725" s="3">
        <v>105</v>
      </c>
      <c r="I725" s="3" t="s">
        <v>253</v>
      </c>
      <c r="J725" s="18">
        <v>256</v>
      </c>
      <c r="K725" s="18">
        <v>1</v>
      </c>
    </row>
    <row r="726" spans="1:11" ht="25.8" x14ac:dyDescent="0.5">
      <c r="A726" s="2">
        <v>2021</v>
      </c>
      <c r="B726" s="2" t="s">
        <v>15</v>
      </c>
      <c r="C726" s="2" t="s">
        <v>9</v>
      </c>
      <c r="D726" s="2" t="s">
        <v>209</v>
      </c>
      <c r="E726" s="2" t="s">
        <v>11</v>
      </c>
      <c r="F726" s="3">
        <v>521766.56</v>
      </c>
      <c r="G726" s="3">
        <v>386</v>
      </c>
      <c r="H726" s="3">
        <v>287</v>
      </c>
      <c r="I726" s="3" t="s">
        <v>254</v>
      </c>
      <c r="J726" s="18">
        <v>342</v>
      </c>
      <c r="K726" s="18">
        <v>1</v>
      </c>
    </row>
    <row r="727" spans="1:11" ht="25.8" x14ac:dyDescent="0.5">
      <c r="A727" s="2">
        <v>2021</v>
      </c>
      <c r="B727" s="2" t="s">
        <v>59</v>
      </c>
      <c r="C727" s="2" t="s">
        <v>228</v>
      </c>
      <c r="D727" s="2" t="s">
        <v>132</v>
      </c>
      <c r="E727" s="2" t="s">
        <v>14</v>
      </c>
      <c r="F727" s="3">
        <v>524174</v>
      </c>
      <c r="G727" s="3">
        <v>962</v>
      </c>
      <c r="H727" s="3">
        <v>28</v>
      </c>
      <c r="I727" s="3" t="s">
        <v>255</v>
      </c>
      <c r="J727" s="18">
        <v>42</v>
      </c>
      <c r="K727" s="18">
        <v>1</v>
      </c>
    </row>
    <row r="728" spans="1:11" ht="25.8" x14ac:dyDescent="0.5">
      <c r="A728" s="2">
        <v>2021</v>
      </c>
      <c r="B728" s="2" t="s">
        <v>50</v>
      </c>
      <c r="C728" s="2" t="s">
        <v>234</v>
      </c>
      <c r="D728" s="2" t="s">
        <v>202</v>
      </c>
      <c r="E728" s="2" t="s">
        <v>22</v>
      </c>
      <c r="F728" s="3">
        <v>524939.52000000002</v>
      </c>
      <c r="G728" s="3">
        <v>156</v>
      </c>
      <c r="H728" s="3">
        <v>54</v>
      </c>
      <c r="I728" s="3" t="s">
        <v>256</v>
      </c>
      <c r="J728" s="18">
        <v>98</v>
      </c>
      <c r="K728" s="18">
        <v>1</v>
      </c>
    </row>
    <row r="729" spans="1:11" ht="25.8" x14ac:dyDescent="0.5">
      <c r="A729" s="2">
        <v>2021</v>
      </c>
      <c r="B729" s="2" t="s">
        <v>8</v>
      </c>
      <c r="C729" s="2" t="s">
        <v>229</v>
      </c>
      <c r="D729" s="2" t="s">
        <v>68</v>
      </c>
      <c r="E729" s="2" t="s">
        <v>22</v>
      </c>
      <c r="F729" s="3">
        <v>526794.23999999999</v>
      </c>
      <c r="G729" s="3">
        <v>615</v>
      </c>
      <c r="H729" s="3">
        <v>851</v>
      </c>
      <c r="I729" s="3" t="s">
        <v>257</v>
      </c>
      <c r="J729" s="18">
        <v>1535</v>
      </c>
      <c r="K729" s="18">
        <v>1</v>
      </c>
    </row>
    <row r="730" spans="1:11" ht="25.8" x14ac:dyDescent="0.5">
      <c r="A730" s="2">
        <v>2021</v>
      </c>
      <c r="B730" s="2" t="s">
        <v>50</v>
      </c>
      <c r="C730" s="2" t="s">
        <v>236</v>
      </c>
      <c r="D730" s="2" t="s">
        <v>207</v>
      </c>
      <c r="E730" s="2" t="s">
        <v>20</v>
      </c>
      <c r="F730" s="3">
        <v>543778</v>
      </c>
      <c r="G730" s="3">
        <v>934</v>
      </c>
      <c r="H730" s="3">
        <v>75</v>
      </c>
      <c r="I730" s="3" t="s">
        <v>258</v>
      </c>
      <c r="J730" s="18">
        <v>174</v>
      </c>
      <c r="K730" s="18">
        <v>1</v>
      </c>
    </row>
    <row r="731" spans="1:11" ht="25.8" x14ac:dyDescent="0.5">
      <c r="A731" s="2">
        <v>2021</v>
      </c>
      <c r="B731" s="2" t="s">
        <v>50</v>
      </c>
      <c r="C731" s="2" t="s">
        <v>228</v>
      </c>
      <c r="D731" s="2" t="s">
        <v>187</v>
      </c>
      <c r="E731" s="2" t="s">
        <v>20</v>
      </c>
      <c r="F731" s="3">
        <v>566350.4</v>
      </c>
      <c r="G731" s="3">
        <v>601</v>
      </c>
      <c r="H731" s="3">
        <v>413</v>
      </c>
      <c r="I731" s="3" t="s">
        <v>259</v>
      </c>
      <c r="J731" s="18">
        <v>772</v>
      </c>
      <c r="K731" s="18">
        <v>1</v>
      </c>
    </row>
    <row r="732" spans="1:11" ht="25.8" x14ac:dyDescent="0.5">
      <c r="A732" s="2">
        <v>2021</v>
      </c>
      <c r="B732" s="2" t="s">
        <v>27</v>
      </c>
      <c r="C732" s="2" t="s">
        <v>234</v>
      </c>
      <c r="D732" s="2" t="s">
        <v>157</v>
      </c>
      <c r="E732" s="2" t="s">
        <v>26</v>
      </c>
      <c r="F732" s="3">
        <v>567481.59999999998</v>
      </c>
      <c r="G732" s="3">
        <v>499</v>
      </c>
      <c r="H732" s="3">
        <v>568</v>
      </c>
      <c r="I732" s="3" t="s">
        <v>260</v>
      </c>
      <c r="J732" s="18">
        <v>1295</v>
      </c>
      <c r="K732" s="18">
        <v>1</v>
      </c>
    </row>
    <row r="733" spans="1:11" ht="25.8" x14ac:dyDescent="0.5">
      <c r="A733" s="2">
        <v>2021</v>
      </c>
      <c r="B733" s="2" t="s">
        <v>18</v>
      </c>
      <c r="C733" s="2" t="s">
        <v>233</v>
      </c>
      <c r="D733" s="2" t="s">
        <v>140</v>
      </c>
      <c r="E733" s="2" t="s">
        <v>22</v>
      </c>
      <c r="F733" s="3">
        <v>584907</v>
      </c>
      <c r="G733" s="3">
        <v>461</v>
      </c>
      <c r="H733" s="3">
        <v>615</v>
      </c>
      <c r="I733" s="3" t="s">
        <v>261</v>
      </c>
      <c r="J733" s="18">
        <v>693</v>
      </c>
      <c r="K733" s="18">
        <v>1</v>
      </c>
    </row>
    <row r="734" spans="1:11" ht="25.8" x14ac:dyDescent="0.5">
      <c r="A734" s="2">
        <v>2021</v>
      </c>
      <c r="B734" s="2" t="s">
        <v>18</v>
      </c>
      <c r="C734" s="2" t="s">
        <v>232</v>
      </c>
      <c r="D734" s="2" t="s">
        <v>110</v>
      </c>
      <c r="E734" s="2" t="s">
        <v>22</v>
      </c>
      <c r="F734" s="3">
        <v>586849.76</v>
      </c>
      <c r="G734" s="3">
        <v>61</v>
      </c>
      <c r="H734" s="3">
        <v>28</v>
      </c>
      <c r="I734" s="3" t="s">
        <v>250</v>
      </c>
      <c r="J734" s="18">
        <v>62</v>
      </c>
      <c r="K734" s="18">
        <v>1</v>
      </c>
    </row>
    <row r="735" spans="1:11" ht="25.8" x14ac:dyDescent="0.5">
      <c r="A735" s="2">
        <v>2021</v>
      </c>
      <c r="B735" s="2" t="s">
        <v>54</v>
      </c>
      <c r="C735" s="2" t="s">
        <v>228</v>
      </c>
      <c r="D735" s="2" t="s">
        <v>211</v>
      </c>
      <c r="E735" s="2" t="s">
        <v>26</v>
      </c>
      <c r="F735" s="3">
        <v>589634</v>
      </c>
      <c r="G735" s="3">
        <v>105</v>
      </c>
      <c r="H735" s="3">
        <v>924</v>
      </c>
      <c r="I735" s="3" t="s">
        <v>251</v>
      </c>
      <c r="J735" s="18">
        <v>1903</v>
      </c>
      <c r="K735" s="18">
        <v>1</v>
      </c>
    </row>
    <row r="736" spans="1:11" ht="25.8" x14ac:dyDescent="0.5">
      <c r="A736" s="2">
        <v>2021</v>
      </c>
      <c r="B736" s="2" t="s">
        <v>12</v>
      </c>
      <c r="C736" s="2" t="s">
        <v>236</v>
      </c>
      <c r="D736" s="2" t="s">
        <v>108</v>
      </c>
      <c r="E736" s="2" t="s">
        <v>26</v>
      </c>
      <c r="F736" s="3">
        <v>612550.40000000002</v>
      </c>
      <c r="G736" s="3">
        <v>957</v>
      </c>
      <c r="H736" s="3">
        <v>210</v>
      </c>
      <c r="I736" s="3" t="s">
        <v>252</v>
      </c>
      <c r="J736" s="18">
        <v>237</v>
      </c>
      <c r="K736" s="18">
        <v>1</v>
      </c>
    </row>
    <row r="737" spans="1:11" ht="25.8" x14ac:dyDescent="0.5">
      <c r="A737" s="2">
        <v>2021</v>
      </c>
      <c r="B737" s="2" t="s">
        <v>12</v>
      </c>
      <c r="C737" s="2" t="s">
        <v>236</v>
      </c>
      <c r="D737" s="2" t="s">
        <v>146</v>
      </c>
      <c r="E737" s="2" t="s">
        <v>20</v>
      </c>
      <c r="F737" s="3">
        <v>612647</v>
      </c>
      <c r="G737" s="3">
        <v>150</v>
      </c>
      <c r="H737" s="3">
        <v>413</v>
      </c>
      <c r="I737" s="3" t="s">
        <v>253</v>
      </c>
      <c r="J737" s="18">
        <v>1028</v>
      </c>
      <c r="K737" s="18">
        <v>1</v>
      </c>
    </row>
    <row r="738" spans="1:11" ht="25.8" x14ac:dyDescent="0.5">
      <c r="A738" s="2">
        <v>2021</v>
      </c>
      <c r="B738" s="2" t="s">
        <v>50</v>
      </c>
      <c r="C738" s="2" t="s">
        <v>234</v>
      </c>
      <c r="D738" s="2" t="s">
        <v>150</v>
      </c>
      <c r="E738" s="2" t="s">
        <v>20</v>
      </c>
      <c r="F738" s="3">
        <v>625926</v>
      </c>
      <c r="G738" s="3">
        <v>610</v>
      </c>
      <c r="H738" s="3">
        <v>851</v>
      </c>
      <c r="I738" s="3" t="s">
        <v>254</v>
      </c>
      <c r="J738" s="18">
        <v>1830</v>
      </c>
      <c r="K738" s="18">
        <v>1</v>
      </c>
    </row>
    <row r="739" spans="1:11" ht="25.8" x14ac:dyDescent="0.5">
      <c r="A739" s="2">
        <v>2021</v>
      </c>
      <c r="B739" s="2" t="s">
        <v>8</v>
      </c>
      <c r="C739" s="2" t="s">
        <v>9</v>
      </c>
      <c r="D739" s="2" t="s">
        <v>213</v>
      </c>
      <c r="E739" s="2" t="s">
        <v>26</v>
      </c>
      <c r="F739" s="3">
        <v>629942</v>
      </c>
      <c r="G739" s="3">
        <v>256</v>
      </c>
      <c r="H739" s="3">
        <v>839</v>
      </c>
      <c r="I739" s="3" t="s">
        <v>255</v>
      </c>
      <c r="J739" s="18">
        <v>1280</v>
      </c>
      <c r="K739" s="18">
        <v>1</v>
      </c>
    </row>
    <row r="740" spans="1:11" ht="25.8" x14ac:dyDescent="0.5">
      <c r="A740" s="2">
        <v>2021</v>
      </c>
      <c r="B740" s="2" t="s">
        <v>50</v>
      </c>
      <c r="C740" s="2" t="s">
        <v>230</v>
      </c>
      <c r="D740" s="2" t="s">
        <v>152</v>
      </c>
      <c r="E740" s="2" t="s">
        <v>22</v>
      </c>
      <c r="F740" s="3">
        <v>631391</v>
      </c>
      <c r="G740" s="3">
        <v>515</v>
      </c>
      <c r="H740" s="3">
        <v>210</v>
      </c>
      <c r="I740" s="3" t="s">
        <v>256</v>
      </c>
      <c r="J740" s="18">
        <v>440</v>
      </c>
      <c r="K740" s="18">
        <v>1</v>
      </c>
    </row>
    <row r="741" spans="1:11" ht="25.8" x14ac:dyDescent="0.5">
      <c r="A741" s="2">
        <v>2021</v>
      </c>
      <c r="B741" s="2" t="s">
        <v>50</v>
      </c>
      <c r="C741" s="2" t="s">
        <v>232</v>
      </c>
      <c r="D741" s="2" t="s">
        <v>153</v>
      </c>
      <c r="E741" s="2" t="s">
        <v>20</v>
      </c>
      <c r="F741" s="3">
        <v>634029</v>
      </c>
      <c r="G741" s="3">
        <v>739</v>
      </c>
      <c r="H741" s="3">
        <v>105</v>
      </c>
      <c r="I741" s="3" t="s">
        <v>257</v>
      </c>
      <c r="J741" s="18">
        <v>256</v>
      </c>
      <c r="K741" s="18">
        <v>1</v>
      </c>
    </row>
    <row r="742" spans="1:11" ht="25.8" x14ac:dyDescent="0.5">
      <c r="A742" s="2">
        <v>2021</v>
      </c>
      <c r="B742" s="2" t="s">
        <v>29</v>
      </c>
      <c r="C742" s="2" t="s">
        <v>231</v>
      </c>
      <c r="D742" s="2" t="s">
        <v>191</v>
      </c>
      <c r="E742" s="2" t="s">
        <v>26</v>
      </c>
      <c r="F742" s="3">
        <v>635797.12</v>
      </c>
      <c r="G742" s="3">
        <v>869</v>
      </c>
      <c r="H742" s="3">
        <v>930</v>
      </c>
      <c r="I742" s="3" t="s">
        <v>258</v>
      </c>
      <c r="J742" s="18">
        <v>2150</v>
      </c>
      <c r="K742" s="18">
        <v>1</v>
      </c>
    </row>
    <row r="743" spans="1:11" ht="25.8" x14ac:dyDescent="0.5">
      <c r="A743" s="2">
        <v>2021</v>
      </c>
      <c r="B743" s="2" t="s">
        <v>59</v>
      </c>
      <c r="C743" s="2" t="s">
        <v>228</v>
      </c>
      <c r="D743" s="2" t="s">
        <v>155</v>
      </c>
      <c r="E743" s="2" t="s">
        <v>14</v>
      </c>
      <c r="F743" s="3">
        <v>653988.16</v>
      </c>
      <c r="G743" s="3">
        <v>962</v>
      </c>
      <c r="H743" s="3">
        <v>28</v>
      </c>
      <c r="I743" s="3" t="s">
        <v>259</v>
      </c>
      <c r="J743" s="18">
        <v>40</v>
      </c>
      <c r="K743" s="18">
        <v>1</v>
      </c>
    </row>
    <row r="744" spans="1:11" ht="25.8" x14ac:dyDescent="0.5">
      <c r="A744" s="2">
        <v>2021</v>
      </c>
      <c r="B744" s="2" t="s">
        <v>8</v>
      </c>
      <c r="C744" s="2" t="s">
        <v>229</v>
      </c>
      <c r="D744" s="2" t="s">
        <v>78</v>
      </c>
      <c r="E744" s="2" t="s">
        <v>22</v>
      </c>
      <c r="F744" s="3">
        <v>655095.84</v>
      </c>
      <c r="G744" s="3">
        <v>615</v>
      </c>
      <c r="H744" s="3">
        <v>851</v>
      </c>
      <c r="I744" s="3" t="s">
        <v>260</v>
      </c>
      <c r="J744" s="18">
        <v>1172</v>
      </c>
      <c r="K744" s="18">
        <v>1</v>
      </c>
    </row>
    <row r="745" spans="1:11" ht="25.8" x14ac:dyDescent="0.5">
      <c r="A745" s="2">
        <v>2021</v>
      </c>
      <c r="B745" s="2" t="s">
        <v>8</v>
      </c>
      <c r="C745" s="2" t="s">
        <v>229</v>
      </c>
      <c r="D745" s="2" t="s">
        <v>79</v>
      </c>
      <c r="E745" s="2" t="s">
        <v>22</v>
      </c>
      <c r="F745" s="3">
        <v>660390.07999999996</v>
      </c>
      <c r="G745" s="3">
        <v>615</v>
      </c>
      <c r="H745" s="3">
        <v>851</v>
      </c>
      <c r="I745" s="3" t="s">
        <v>261</v>
      </c>
      <c r="J745" s="18">
        <v>1025</v>
      </c>
      <c r="K745" s="18">
        <v>1</v>
      </c>
    </row>
    <row r="746" spans="1:11" ht="25.8" x14ac:dyDescent="0.5">
      <c r="A746" s="2">
        <v>2021</v>
      </c>
      <c r="B746" s="2" t="s">
        <v>54</v>
      </c>
      <c r="C746" s="2" t="s">
        <v>228</v>
      </c>
      <c r="D746" s="2" t="s">
        <v>147</v>
      </c>
      <c r="E746" s="2" t="s">
        <v>14</v>
      </c>
      <c r="F746" s="3">
        <v>668335.35999999999</v>
      </c>
      <c r="G746" s="3">
        <v>105</v>
      </c>
      <c r="H746" s="3">
        <v>924</v>
      </c>
      <c r="I746" s="3" t="s">
        <v>250</v>
      </c>
      <c r="J746" s="18">
        <v>1517</v>
      </c>
      <c r="K746" s="18">
        <v>1</v>
      </c>
    </row>
    <row r="747" spans="1:11" ht="25.8" x14ac:dyDescent="0.5">
      <c r="A747" s="2">
        <v>2021</v>
      </c>
      <c r="B747" s="2" t="s">
        <v>18</v>
      </c>
      <c r="C747" s="2" t="s">
        <v>228</v>
      </c>
      <c r="D747" s="2" t="s">
        <v>96</v>
      </c>
      <c r="E747" s="2" t="s">
        <v>11</v>
      </c>
      <c r="F747" s="3">
        <v>670153.12</v>
      </c>
      <c r="G747" s="3">
        <v>86</v>
      </c>
      <c r="H747" s="3">
        <v>232</v>
      </c>
      <c r="I747" s="3" t="s">
        <v>251</v>
      </c>
      <c r="J747" s="18">
        <v>391</v>
      </c>
      <c r="K747" s="18">
        <v>1</v>
      </c>
    </row>
    <row r="748" spans="1:11" ht="25.8" x14ac:dyDescent="0.5">
      <c r="A748" s="2">
        <v>2021</v>
      </c>
      <c r="B748" s="2" t="s">
        <v>12</v>
      </c>
      <c r="C748" s="2" t="s">
        <v>236</v>
      </c>
      <c r="D748" s="2" t="s">
        <v>77</v>
      </c>
      <c r="E748" s="2" t="s">
        <v>66</v>
      </c>
      <c r="F748" s="3">
        <v>685790.56</v>
      </c>
      <c r="G748" s="3">
        <v>970</v>
      </c>
      <c r="H748" s="3">
        <v>616</v>
      </c>
      <c r="I748" s="3" t="s">
        <v>252</v>
      </c>
      <c r="J748" s="18">
        <v>1097</v>
      </c>
      <c r="K748" s="18">
        <v>1</v>
      </c>
    </row>
    <row r="749" spans="1:11" ht="25.8" x14ac:dyDescent="0.5">
      <c r="A749" s="2">
        <v>2021</v>
      </c>
      <c r="B749" s="2" t="s">
        <v>12</v>
      </c>
      <c r="C749" s="2" t="s">
        <v>236</v>
      </c>
      <c r="D749" s="2" t="s">
        <v>71</v>
      </c>
      <c r="E749" s="2" t="s">
        <v>22</v>
      </c>
      <c r="F749" s="3">
        <v>692508.32</v>
      </c>
      <c r="G749" s="3">
        <v>150</v>
      </c>
      <c r="H749" s="3">
        <v>413</v>
      </c>
      <c r="I749" s="3" t="s">
        <v>253</v>
      </c>
      <c r="J749" s="18">
        <v>703</v>
      </c>
      <c r="K749" s="18">
        <v>1</v>
      </c>
    </row>
    <row r="750" spans="1:11" ht="25.8" x14ac:dyDescent="0.5">
      <c r="A750" s="2">
        <v>2021</v>
      </c>
      <c r="B750" s="2" t="s">
        <v>29</v>
      </c>
      <c r="C750" s="2" t="s">
        <v>234</v>
      </c>
      <c r="D750" s="2" t="s">
        <v>123</v>
      </c>
      <c r="E750" s="2" t="s">
        <v>14</v>
      </c>
      <c r="F750" s="3">
        <v>692508.32</v>
      </c>
      <c r="G750" s="3">
        <v>873</v>
      </c>
      <c r="H750" s="3">
        <v>287</v>
      </c>
      <c r="I750" s="3" t="s">
        <v>254</v>
      </c>
      <c r="J750" s="18">
        <v>586</v>
      </c>
      <c r="K750" s="18">
        <v>1</v>
      </c>
    </row>
    <row r="751" spans="1:11" ht="25.8" x14ac:dyDescent="0.5">
      <c r="A751" s="2">
        <v>2021</v>
      </c>
      <c r="B751" s="2" t="s">
        <v>18</v>
      </c>
      <c r="C751" s="2" t="s">
        <v>229</v>
      </c>
      <c r="D751" s="2" t="s">
        <v>91</v>
      </c>
      <c r="E751" s="2" t="s">
        <v>14</v>
      </c>
      <c r="F751" s="3">
        <v>692508.32</v>
      </c>
      <c r="G751" s="3">
        <v>975</v>
      </c>
      <c r="H751" s="3">
        <v>282</v>
      </c>
      <c r="I751" s="3" t="s">
        <v>255</v>
      </c>
      <c r="J751" s="18">
        <v>369</v>
      </c>
      <c r="K751" s="18">
        <v>1</v>
      </c>
    </row>
    <row r="752" spans="1:11" ht="25.8" x14ac:dyDescent="0.5">
      <c r="A752" s="2">
        <v>2021</v>
      </c>
      <c r="B752" s="2" t="s">
        <v>50</v>
      </c>
      <c r="C752" s="2" t="s">
        <v>236</v>
      </c>
      <c r="D752" s="2" t="s">
        <v>145</v>
      </c>
      <c r="E752" s="2" t="s">
        <v>22</v>
      </c>
      <c r="F752" s="3">
        <v>697089.12</v>
      </c>
      <c r="G752" s="3">
        <v>479</v>
      </c>
      <c r="H752" s="3">
        <v>934</v>
      </c>
      <c r="I752" s="3" t="s">
        <v>256</v>
      </c>
      <c r="J752" s="18">
        <v>1429</v>
      </c>
      <c r="K752" s="18">
        <v>1</v>
      </c>
    </row>
    <row r="753" spans="1:11" ht="25.8" x14ac:dyDescent="0.5">
      <c r="A753" s="2">
        <v>2021</v>
      </c>
      <c r="B753" s="2" t="s">
        <v>23</v>
      </c>
      <c r="C753" s="2" t="s">
        <v>233</v>
      </c>
      <c r="D753" s="2" t="s">
        <v>127</v>
      </c>
      <c r="E753" s="2" t="s">
        <v>22</v>
      </c>
      <c r="F753" s="3">
        <v>701037.12</v>
      </c>
      <c r="G753" s="3">
        <v>843</v>
      </c>
      <c r="H753" s="3">
        <v>839</v>
      </c>
      <c r="I753" s="3" t="s">
        <v>257</v>
      </c>
      <c r="J753" s="18">
        <v>1464</v>
      </c>
      <c r="K753" s="18">
        <v>1</v>
      </c>
    </row>
    <row r="754" spans="1:11" ht="25.8" x14ac:dyDescent="0.5">
      <c r="A754" s="2">
        <v>2021</v>
      </c>
      <c r="B754" s="2" t="s">
        <v>8</v>
      </c>
      <c r="C754" s="2" t="s">
        <v>234</v>
      </c>
      <c r="D754" s="2" t="s">
        <v>144</v>
      </c>
      <c r="E754" s="2" t="s">
        <v>14</v>
      </c>
      <c r="F754" s="3">
        <v>705535.04</v>
      </c>
      <c r="G754" s="3">
        <v>137</v>
      </c>
      <c r="H754" s="3">
        <v>784</v>
      </c>
      <c r="I754" s="3" t="s">
        <v>258</v>
      </c>
      <c r="J754" s="18">
        <v>1180</v>
      </c>
      <c r="K754" s="18">
        <v>1</v>
      </c>
    </row>
    <row r="755" spans="1:11" ht="25.8" x14ac:dyDescent="0.5">
      <c r="A755" s="2">
        <v>2021</v>
      </c>
      <c r="B755" s="2" t="s">
        <v>15</v>
      </c>
      <c r="C755" s="2" t="s">
        <v>9</v>
      </c>
      <c r="D755" s="2" t="s">
        <v>136</v>
      </c>
      <c r="E755" s="2" t="s">
        <v>20</v>
      </c>
      <c r="F755" s="3">
        <v>706171.2</v>
      </c>
      <c r="G755" s="3">
        <v>774</v>
      </c>
      <c r="H755" s="3">
        <v>33</v>
      </c>
      <c r="I755" s="3" t="s">
        <v>259</v>
      </c>
      <c r="J755" s="18">
        <v>46</v>
      </c>
      <c r="K755" s="18">
        <v>1</v>
      </c>
    </row>
    <row r="756" spans="1:11" ht="25.8" x14ac:dyDescent="0.5">
      <c r="A756" s="2">
        <v>2021</v>
      </c>
      <c r="B756" s="2" t="s">
        <v>23</v>
      </c>
      <c r="C756" s="2" t="s">
        <v>228</v>
      </c>
      <c r="D756" s="2" t="s">
        <v>130</v>
      </c>
      <c r="E756" s="2" t="s">
        <v>20</v>
      </c>
      <c r="F756" s="3">
        <v>707157.92</v>
      </c>
      <c r="G756" s="3">
        <v>573</v>
      </c>
      <c r="H756" s="3">
        <v>784</v>
      </c>
      <c r="I756" s="3" t="s">
        <v>260</v>
      </c>
      <c r="J756" s="18">
        <v>1029</v>
      </c>
      <c r="K756" s="18">
        <v>1</v>
      </c>
    </row>
    <row r="757" spans="1:11" ht="25.8" x14ac:dyDescent="0.5">
      <c r="A757" s="2">
        <v>2021</v>
      </c>
      <c r="B757" s="2" t="s">
        <v>54</v>
      </c>
      <c r="C757" s="2" t="s">
        <v>9</v>
      </c>
      <c r="D757" s="2" t="s">
        <v>72</v>
      </c>
      <c r="E757" s="2" t="s">
        <v>22</v>
      </c>
      <c r="F757" s="3">
        <v>710112.48</v>
      </c>
      <c r="G757" s="3">
        <v>590</v>
      </c>
      <c r="H757" s="3">
        <v>268</v>
      </c>
      <c r="I757" s="3" t="s">
        <v>261</v>
      </c>
      <c r="J757" s="18">
        <v>467</v>
      </c>
      <c r="K757" s="18">
        <v>1</v>
      </c>
    </row>
    <row r="758" spans="1:11" ht="25.8" x14ac:dyDescent="0.5">
      <c r="A758" s="2">
        <v>2021</v>
      </c>
      <c r="B758" s="2" t="s">
        <v>50</v>
      </c>
      <c r="C758" s="2" t="s">
        <v>232</v>
      </c>
      <c r="D758" s="2" t="s">
        <v>80</v>
      </c>
      <c r="E758" s="2" t="s">
        <v>38</v>
      </c>
      <c r="F758" s="3">
        <v>712968.48</v>
      </c>
      <c r="G758" s="3">
        <v>739</v>
      </c>
      <c r="H758" s="3">
        <v>105</v>
      </c>
      <c r="I758" s="3" t="s">
        <v>250</v>
      </c>
      <c r="J758" s="18">
        <v>213</v>
      </c>
      <c r="K758" s="18">
        <v>1</v>
      </c>
    </row>
    <row r="759" spans="1:11" ht="25.8" x14ac:dyDescent="0.5">
      <c r="A759" s="2">
        <v>2021</v>
      </c>
      <c r="B759" s="2" t="s">
        <v>50</v>
      </c>
      <c r="C759" s="2" t="s">
        <v>234</v>
      </c>
      <c r="D759" s="2" t="s">
        <v>162</v>
      </c>
      <c r="E759" s="2" t="s">
        <v>20</v>
      </c>
      <c r="F759" s="3">
        <v>729331</v>
      </c>
      <c r="G759" s="3">
        <v>610</v>
      </c>
      <c r="H759" s="3">
        <v>851</v>
      </c>
      <c r="I759" s="3" t="s">
        <v>251</v>
      </c>
      <c r="J759" s="18">
        <v>1105</v>
      </c>
      <c r="K759" s="18">
        <v>1</v>
      </c>
    </row>
    <row r="760" spans="1:11" ht="25.8" x14ac:dyDescent="0.5">
      <c r="A760" s="2">
        <v>2021</v>
      </c>
      <c r="B760" s="2" t="s">
        <v>23</v>
      </c>
      <c r="C760" s="2" t="s">
        <v>233</v>
      </c>
      <c r="D760" s="2" t="s">
        <v>174</v>
      </c>
      <c r="E760" s="2" t="s">
        <v>22</v>
      </c>
      <c r="F760" s="3">
        <v>764721.44</v>
      </c>
      <c r="G760" s="3">
        <v>843</v>
      </c>
      <c r="H760" s="3">
        <v>839</v>
      </c>
      <c r="I760" s="3" t="s">
        <v>252</v>
      </c>
      <c r="J760" s="18">
        <v>1938</v>
      </c>
      <c r="K760" s="18">
        <v>1</v>
      </c>
    </row>
    <row r="761" spans="1:11" ht="25.8" x14ac:dyDescent="0.5">
      <c r="A761" s="2">
        <v>2021</v>
      </c>
      <c r="B761" s="2" t="s">
        <v>54</v>
      </c>
      <c r="C761" s="2" t="s">
        <v>9</v>
      </c>
      <c r="D761" s="2" t="s">
        <v>167</v>
      </c>
      <c r="E761" s="2" t="s">
        <v>14</v>
      </c>
      <c r="F761" s="3">
        <v>769514</v>
      </c>
      <c r="G761" s="3">
        <v>590</v>
      </c>
      <c r="H761" s="3">
        <v>268</v>
      </c>
      <c r="I761" s="3" t="s">
        <v>253</v>
      </c>
      <c r="J761" s="18">
        <v>662</v>
      </c>
      <c r="K761" s="18">
        <v>1</v>
      </c>
    </row>
    <row r="762" spans="1:11" ht="25.8" x14ac:dyDescent="0.5">
      <c r="A762" s="2">
        <v>2021</v>
      </c>
      <c r="B762" s="2" t="s">
        <v>15</v>
      </c>
      <c r="C762" s="2" t="s">
        <v>233</v>
      </c>
      <c r="D762" s="2" t="s">
        <v>109</v>
      </c>
      <c r="E762" s="2" t="s">
        <v>11</v>
      </c>
      <c r="F762" s="3">
        <v>786367.67999999993</v>
      </c>
      <c r="G762" s="3">
        <v>299</v>
      </c>
      <c r="H762" s="3">
        <v>975</v>
      </c>
      <c r="I762" s="3" t="s">
        <v>254</v>
      </c>
      <c r="J762" s="18">
        <v>1533</v>
      </c>
      <c r="K762" s="18">
        <v>1</v>
      </c>
    </row>
    <row r="763" spans="1:11" ht="25.8" x14ac:dyDescent="0.5">
      <c r="A763" s="2">
        <v>2021</v>
      </c>
      <c r="B763" s="2" t="s">
        <v>54</v>
      </c>
      <c r="C763" s="2" t="s">
        <v>231</v>
      </c>
      <c r="D763" s="2" t="s">
        <v>156</v>
      </c>
      <c r="E763" s="2" t="s">
        <v>26</v>
      </c>
      <c r="F763" s="3">
        <v>801894.24</v>
      </c>
      <c r="G763" s="3">
        <v>929</v>
      </c>
      <c r="H763" s="3">
        <v>590</v>
      </c>
      <c r="I763" s="3" t="s">
        <v>255</v>
      </c>
      <c r="J763" s="18">
        <v>785</v>
      </c>
      <c r="K763" s="18">
        <v>1</v>
      </c>
    </row>
    <row r="764" spans="1:11" ht="25.8" x14ac:dyDescent="0.5">
      <c r="A764" s="2">
        <v>2021</v>
      </c>
      <c r="B764" s="2" t="s">
        <v>59</v>
      </c>
      <c r="C764" s="2" t="s">
        <v>229</v>
      </c>
      <c r="D764" s="2" t="s">
        <v>171</v>
      </c>
      <c r="E764" s="2" t="s">
        <v>22</v>
      </c>
      <c r="F764" s="3">
        <v>801894.24</v>
      </c>
      <c r="G764" s="3">
        <v>871</v>
      </c>
      <c r="H764" s="3">
        <v>810</v>
      </c>
      <c r="I764" s="3" t="s">
        <v>256</v>
      </c>
      <c r="J764" s="18">
        <v>1193</v>
      </c>
      <c r="K764" s="18">
        <v>1</v>
      </c>
    </row>
    <row r="765" spans="1:11" ht="25.8" x14ac:dyDescent="0.5">
      <c r="A765" s="2">
        <v>2021</v>
      </c>
      <c r="B765" s="2" t="s">
        <v>27</v>
      </c>
      <c r="C765" s="2" t="s">
        <v>234</v>
      </c>
      <c r="D765" s="2" t="s">
        <v>172</v>
      </c>
      <c r="E765" s="2" t="s">
        <v>20</v>
      </c>
      <c r="F765" s="3">
        <v>810445</v>
      </c>
      <c r="G765" s="3">
        <v>849</v>
      </c>
      <c r="H765" s="3">
        <v>156</v>
      </c>
      <c r="I765" s="3" t="s">
        <v>257</v>
      </c>
      <c r="J765" s="18">
        <v>195</v>
      </c>
      <c r="K765" s="18">
        <v>1</v>
      </c>
    </row>
    <row r="766" spans="1:11" ht="25.8" x14ac:dyDescent="0.5">
      <c r="A766" s="2">
        <v>2021</v>
      </c>
      <c r="B766" s="2" t="s">
        <v>23</v>
      </c>
      <c r="C766" s="2" t="s">
        <v>235</v>
      </c>
      <c r="D766" s="2" t="s">
        <v>85</v>
      </c>
      <c r="E766" s="2" t="s">
        <v>11</v>
      </c>
      <c r="F766" s="3">
        <v>814604</v>
      </c>
      <c r="G766" s="3">
        <v>911</v>
      </c>
      <c r="H766" s="3">
        <v>105</v>
      </c>
      <c r="I766" s="3" t="s">
        <v>258</v>
      </c>
      <c r="J766" s="18">
        <v>154</v>
      </c>
      <c r="K766" s="18">
        <v>1</v>
      </c>
    </row>
    <row r="767" spans="1:11" ht="25.8" x14ac:dyDescent="0.5">
      <c r="A767" s="2">
        <v>2021</v>
      </c>
      <c r="B767" s="2" t="s">
        <v>18</v>
      </c>
      <c r="C767" s="2" t="s">
        <v>228</v>
      </c>
      <c r="D767" s="2" t="s">
        <v>103</v>
      </c>
      <c r="E767" s="2" t="s">
        <v>11</v>
      </c>
      <c r="F767" s="3">
        <v>815624.32</v>
      </c>
      <c r="G767" s="3">
        <v>86</v>
      </c>
      <c r="H767" s="3">
        <v>232</v>
      </c>
      <c r="I767" s="3" t="s">
        <v>259</v>
      </c>
      <c r="J767" s="18">
        <v>336</v>
      </c>
      <c r="K767" s="18">
        <v>1</v>
      </c>
    </row>
    <row r="768" spans="1:11" ht="25.8" x14ac:dyDescent="0.5">
      <c r="A768" s="2">
        <v>2021</v>
      </c>
      <c r="B768" s="2" t="s">
        <v>54</v>
      </c>
      <c r="C768" s="2" t="s">
        <v>9</v>
      </c>
      <c r="D768" s="2" t="s">
        <v>115</v>
      </c>
      <c r="E768" s="2" t="s">
        <v>22</v>
      </c>
      <c r="F768" s="3">
        <v>816850.72</v>
      </c>
      <c r="G768" s="3">
        <v>590</v>
      </c>
      <c r="H768" s="3">
        <v>268</v>
      </c>
      <c r="I768" s="3" t="s">
        <v>260</v>
      </c>
      <c r="J768" s="18">
        <v>425</v>
      </c>
      <c r="K768" s="18">
        <v>1</v>
      </c>
    </row>
    <row r="769" spans="1:11" ht="25.8" x14ac:dyDescent="0.5">
      <c r="A769" s="2">
        <v>2021</v>
      </c>
      <c r="B769" s="2" t="s">
        <v>59</v>
      </c>
      <c r="C769" s="2" t="s">
        <v>228</v>
      </c>
      <c r="D769" s="2" t="s">
        <v>163</v>
      </c>
      <c r="E769" s="2" t="s">
        <v>22</v>
      </c>
      <c r="F769" s="3">
        <v>819636.16</v>
      </c>
      <c r="G769" s="3">
        <v>810</v>
      </c>
      <c r="H769" s="3">
        <v>657</v>
      </c>
      <c r="I769" s="3" t="s">
        <v>261</v>
      </c>
      <c r="J769" s="18">
        <v>1415</v>
      </c>
      <c r="K769" s="18">
        <v>1</v>
      </c>
    </row>
    <row r="770" spans="1:11" ht="25.8" x14ac:dyDescent="0.5">
      <c r="A770" s="2">
        <v>2021</v>
      </c>
      <c r="B770" s="2" t="s">
        <v>18</v>
      </c>
      <c r="C770" s="2" t="s">
        <v>234</v>
      </c>
      <c r="D770" s="2" t="s">
        <v>173</v>
      </c>
      <c r="E770" s="2" t="s">
        <v>20</v>
      </c>
      <c r="F770" s="3">
        <v>819636.16</v>
      </c>
      <c r="G770" s="3">
        <v>166</v>
      </c>
      <c r="H770" s="3">
        <v>934</v>
      </c>
      <c r="I770" s="3" t="s">
        <v>250</v>
      </c>
      <c r="J770" s="18">
        <v>2220</v>
      </c>
      <c r="K770" s="18">
        <v>1</v>
      </c>
    </row>
    <row r="771" spans="1:11" ht="25.8" x14ac:dyDescent="0.5">
      <c r="A771" s="2">
        <v>2021</v>
      </c>
      <c r="B771" s="2" t="s">
        <v>59</v>
      </c>
      <c r="C771" s="2" t="s">
        <v>9</v>
      </c>
      <c r="D771" s="2" t="s">
        <v>215</v>
      </c>
      <c r="E771" s="2" t="s">
        <v>26</v>
      </c>
      <c r="F771" s="3">
        <v>828244.47999999998</v>
      </c>
      <c r="G771" s="3">
        <v>342</v>
      </c>
      <c r="H771" s="3">
        <v>968</v>
      </c>
      <c r="I771" s="3" t="s">
        <v>251</v>
      </c>
      <c r="J771" s="18">
        <v>1907</v>
      </c>
      <c r="K771" s="18">
        <v>1</v>
      </c>
    </row>
    <row r="772" spans="1:11" ht="25.8" x14ac:dyDescent="0.5">
      <c r="A772" s="2">
        <v>2021</v>
      </c>
      <c r="B772" s="2" t="s">
        <v>18</v>
      </c>
      <c r="C772" s="2" t="s">
        <v>234</v>
      </c>
      <c r="D772" s="2" t="s">
        <v>104</v>
      </c>
      <c r="E772" s="2" t="s">
        <v>14</v>
      </c>
      <c r="F772" s="3">
        <v>836894.24</v>
      </c>
      <c r="G772" s="3">
        <v>232</v>
      </c>
      <c r="H772" s="3">
        <v>351</v>
      </c>
      <c r="I772" s="3" t="s">
        <v>252</v>
      </c>
      <c r="J772" s="18">
        <v>592</v>
      </c>
      <c r="K772" s="18">
        <v>1</v>
      </c>
    </row>
    <row r="773" spans="1:11" ht="25.8" x14ac:dyDescent="0.5">
      <c r="A773" s="2">
        <v>2021</v>
      </c>
      <c r="B773" s="2" t="s">
        <v>29</v>
      </c>
      <c r="C773" s="2" t="s">
        <v>234</v>
      </c>
      <c r="D773" s="2" t="s">
        <v>56</v>
      </c>
      <c r="E773" s="2" t="s">
        <v>14</v>
      </c>
      <c r="F773" s="3">
        <v>861855.67999999993</v>
      </c>
      <c r="G773" s="3">
        <v>873</v>
      </c>
      <c r="H773" s="3">
        <v>287</v>
      </c>
      <c r="I773" s="3" t="s">
        <v>253</v>
      </c>
      <c r="J773" s="18">
        <v>484</v>
      </c>
      <c r="K773" s="18">
        <v>1</v>
      </c>
    </row>
    <row r="774" spans="1:11" ht="25.8" x14ac:dyDescent="0.5">
      <c r="A774" s="2">
        <v>2021</v>
      </c>
      <c r="B774" s="2" t="s">
        <v>54</v>
      </c>
      <c r="C774" s="2" t="s">
        <v>228</v>
      </c>
      <c r="D774" s="2" t="s">
        <v>88</v>
      </c>
      <c r="E774" s="2" t="s">
        <v>14</v>
      </c>
      <c r="F774" s="3">
        <v>862660</v>
      </c>
      <c r="G774" s="3">
        <v>105</v>
      </c>
      <c r="H774" s="3">
        <v>924</v>
      </c>
      <c r="I774" s="3" t="s">
        <v>254</v>
      </c>
      <c r="J774" s="18">
        <v>1354</v>
      </c>
      <c r="K774" s="18">
        <v>1</v>
      </c>
    </row>
    <row r="775" spans="1:11" ht="25.8" x14ac:dyDescent="0.5">
      <c r="A775" s="2">
        <v>2021</v>
      </c>
      <c r="B775" s="2" t="s">
        <v>18</v>
      </c>
      <c r="C775" s="2" t="s">
        <v>234</v>
      </c>
      <c r="D775" s="2" t="s">
        <v>122</v>
      </c>
      <c r="E775" s="2" t="s">
        <v>20</v>
      </c>
      <c r="F775" s="3">
        <v>883137.92</v>
      </c>
      <c r="G775" s="3">
        <v>166</v>
      </c>
      <c r="H775" s="3">
        <v>934</v>
      </c>
      <c r="I775" s="3" t="s">
        <v>255</v>
      </c>
      <c r="J775" s="18">
        <v>2113</v>
      </c>
      <c r="K775" s="18">
        <v>1</v>
      </c>
    </row>
    <row r="776" spans="1:11" ht="25.8" x14ac:dyDescent="0.5">
      <c r="A776" s="2">
        <v>2021</v>
      </c>
      <c r="B776" s="2" t="s">
        <v>50</v>
      </c>
      <c r="C776" s="2" t="s">
        <v>231</v>
      </c>
      <c r="D776" s="2" t="s">
        <v>89</v>
      </c>
      <c r="E776" s="2" t="s">
        <v>38</v>
      </c>
      <c r="F776" s="3">
        <v>893809</v>
      </c>
      <c r="G776" s="3">
        <v>851</v>
      </c>
      <c r="H776" s="3">
        <v>162</v>
      </c>
      <c r="I776" s="3" t="s">
        <v>256</v>
      </c>
      <c r="J776" s="18">
        <v>303</v>
      </c>
      <c r="K776" s="18">
        <v>1</v>
      </c>
    </row>
    <row r="777" spans="1:11" ht="25.8" x14ac:dyDescent="0.5">
      <c r="A777" s="2">
        <v>2021</v>
      </c>
      <c r="B777" s="2" t="s">
        <v>27</v>
      </c>
      <c r="C777" s="2" t="s">
        <v>234</v>
      </c>
      <c r="D777" s="2" t="s">
        <v>131</v>
      </c>
      <c r="E777" s="2" t="s">
        <v>20</v>
      </c>
      <c r="F777" s="3">
        <v>907698.4</v>
      </c>
      <c r="G777" s="3">
        <v>849</v>
      </c>
      <c r="H777" s="3">
        <v>156</v>
      </c>
      <c r="I777" s="3" t="s">
        <v>257</v>
      </c>
      <c r="J777" s="18">
        <v>351</v>
      </c>
      <c r="K777" s="18">
        <v>1</v>
      </c>
    </row>
    <row r="778" spans="1:11" ht="25.8" x14ac:dyDescent="0.5">
      <c r="A778" s="2">
        <v>2021</v>
      </c>
      <c r="B778" s="2" t="s">
        <v>50</v>
      </c>
      <c r="C778" s="2" t="s">
        <v>228</v>
      </c>
      <c r="D778" s="2" t="s">
        <v>107</v>
      </c>
      <c r="E778" s="2" t="s">
        <v>20</v>
      </c>
      <c r="F778" s="3">
        <v>911080.8</v>
      </c>
      <c r="G778" s="3">
        <v>601</v>
      </c>
      <c r="H778" s="3">
        <v>413</v>
      </c>
      <c r="I778" s="3" t="s">
        <v>258</v>
      </c>
      <c r="J778" s="18">
        <v>645</v>
      </c>
      <c r="K778" s="18">
        <v>1</v>
      </c>
    </row>
    <row r="779" spans="1:11" ht="25.8" x14ac:dyDescent="0.5">
      <c r="A779" s="2">
        <v>2021</v>
      </c>
      <c r="B779" s="2" t="s">
        <v>18</v>
      </c>
      <c r="C779" s="2" t="s">
        <v>230</v>
      </c>
      <c r="D779" s="2" t="s">
        <v>47</v>
      </c>
      <c r="E779" s="2" t="s">
        <v>38</v>
      </c>
      <c r="F779" s="3">
        <v>917449</v>
      </c>
      <c r="G779" s="3">
        <v>249</v>
      </c>
      <c r="H779" s="3">
        <v>975</v>
      </c>
      <c r="I779" s="3" t="s">
        <v>259</v>
      </c>
      <c r="J779" s="18">
        <v>1254</v>
      </c>
      <c r="K779" s="18">
        <v>1</v>
      </c>
    </row>
    <row r="780" spans="1:11" ht="25.8" x14ac:dyDescent="0.5">
      <c r="A780" s="2">
        <v>2021</v>
      </c>
      <c r="B780" s="2" t="s">
        <v>18</v>
      </c>
      <c r="C780" s="2" t="s">
        <v>234</v>
      </c>
      <c r="D780" s="2" t="s">
        <v>124</v>
      </c>
      <c r="E780" s="2" t="s">
        <v>66</v>
      </c>
      <c r="F780" s="3">
        <v>920759</v>
      </c>
      <c r="G780" s="3">
        <v>166</v>
      </c>
      <c r="H780" s="3">
        <v>934</v>
      </c>
      <c r="I780" s="3" t="s">
        <v>260</v>
      </c>
      <c r="J780" s="18">
        <v>1653</v>
      </c>
      <c r="K780" s="18">
        <v>1</v>
      </c>
    </row>
    <row r="781" spans="1:11" ht="25.8" x14ac:dyDescent="0.5">
      <c r="A781" s="2">
        <v>2021</v>
      </c>
      <c r="B781" s="2" t="s">
        <v>59</v>
      </c>
      <c r="C781" s="2" t="s">
        <v>228</v>
      </c>
      <c r="D781" s="2" t="s">
        <v>199</v>
      </c>
      <c r="E781" s="2" t="s">
        <v>22</v>
      </c>
      <c r="F781" s="3">
        <v>925289.12</v>
      </c>
      <c r="G781" s="3">
        <v>810</v>
      </c>
      <c r="H781" s="3">
        <v>657</v>
      </c>
      <c r="I781" s="3" t="s">
        <v>261</v>
      </c>
      <c r="J781" s="18">
        <v>1560</v>
      </c>
      <c r="K781" s="18">
        <v>1</v>
      </c>
    </row>
    <row r="782" spans="1:11" ht="25.8" x14ac:dyDescent="0.5">
      <c r="A782" s="2">
        <v>2021</v>
      </c>
      <c r="B782" s="2" t="s">
        <v>59</v>
      </c>
      <c r="C782" s="2" t="s">
        <v>228</v>
      </c>
      <c r="D782" s="2" t="s">
        <v>101</v>
      </c>
      <c r="E782" s="2" t="s">
        <v>14</v>
      </c>
      <c r="F782" s="3">
        <v>928877.6</v>
      </c>
      <c r="G782" s="3">
        <v>962</v>
      </c>
      <c r="H782" s="3">
        <v>28</v>
      </c>
      <c r="I782" s="3" t="s">
        <v>250</v>
      </c>
      <c r="J782" s="18">
        <v>51</v>
      </c>
      <c r="K782" s="18">
        <v>1</v>
      </c>
    </row>
    <row r="783" spans="1:11" ht="25.8" x14ac:dyDescent="0.5">
      <c r="A783" s="2">
        <v>2021</v>
      </c>
      <c r="B783" s="2" t="s">
        <v>27</v>
      </c>
      <c r="C783" s="2" t="s">
        <v>234</v>
      </c>
      <c r="D783" s="2" t="s">
        <v>126</v>
      </c>
      <c r="E783" s="2" t="s">
        <v>26</v>
      </c>
      <c r="F783" s="3">
        <v>937183.52</v>
      </c>
      <c r="G783" s="3">
        <v>499</v>
      </c>
      <c r="H783" s="3">
        <v>568</v>
      </c>
      <c r="I783" s="3" t="s">
        <v>251</v>
      </c>
      <c r="J783" s="18">
        <v>997</v>
      </c>
      <c r="K783" s="18">
        <v>1</v>
      </c>
    </row>
    <row r="784" spans="1:11" ht="25.8" x14ac:dyDescent="0.5">
      <c r="A784" s="2">
        <v>2021</v>
      </c>
      <c r="B784" s="2" t="s">
        <v>27</v>
      </c>
      <c r="C784" s="2" t="s">
        <v>234</v>
      </c>
      <c r="D784" s="2" t="s">
        <v>112</v>
      </c>
      <c r="E784" s="2" t="s">
        <v>26</v>
      </c>
      <c r="F784" s="3">
        <v>949329.92000000004</v>
      </c>
      <c r="G784" s="3">
        <v>499</v>
      </c>
      <c r="H784" s="3">
        <v>568</v>
      </c>
      <c r="I784" s="3" t="s">
        <v>252</v>
      </c>
      <c r="J784" s="18">
        <v>951</v>
      </c>
      <c r="K784" s="18">
        <v>1</v>
      </c>
    </row>
    <row r="785" spans="1:11" ht="25.8" x14ac:dyDescent="0.5">
      <c r="A785" s="2">
        <v>2021</v>
      </c>
      <c r="B785" s="2" t="s">
        <v>50</v>
      </c>
      <c r="C785" s="2" t="s">
        <v>228</v>
      </c>
      <c r="D785" s="2" t="s">
        <v>220</v>
      </c>
      <c r="E785" s="2" t="s">
        <v>20</v>
      </c>
      <c r="F785" s="3">
        <v>951972</v>
      </c>
      <c r="G785" s="3">
        <v>601</v>
      </c>
      <c r="H785" s="3">
        <v>413</v>
      </c>
      <c r="I785" s="3" t="s">
        <v>253</v>
      </c>
      <c r="J785" s="18">
        <v>534</v>
      </c>
      <c r="K785" s="18">
        <v>1</v>
      </c>
    </row>
    <row r="786" spans="1:11" ht="25.8" x14ac:dyDescent="0.5">
      <c r="A786" s="2">
        <v>2021</v>
      </c>
      <c r="B786" s="2" t="s">
        <v>29</v>
      </c>
      <c r="C786" s="2" t="s">
        <v>234</v>
      </c>
      <c r="D786" s="2" t="s">
        <v>99</v>
      </c>
      <c r="E786" s="2" t="s">
        <v>14</v>
      </c>
      <c r="F786" s="3">
        <v>954561.44</v>
      </c>
      <c r="G786" s="3">
        <v>873</v>
      </c>
      <c r="H786" s="3">
        <v>287</v>
      </c>
      <c r="I786" s="3" t="s">
        <v>254</v>
      </c>
      <c r="J786" s="18">
        <v>330</v>
      </c>
      <c r="K786" s="18">
        <v>1</v>
      </c>
    </row>
    <row r="787" spans="1:11" ht="25.8" x14ac:dyDescent="0.5">
      <c r="A787" s="2">
        <v>2021</v>
      </c>
      <c r="B787" s="2" t="s">
        <v>50</v>
      </c>
      <c r="C787" s="2" t="s">
        <v>231</v>
      </c>
      <c r="D787" s="2" t="s">
        <v>227</v>
      </c>
      <c r="E787" s="2" t="s">
        <v>26</v>
      </c>
      <c r="F787" s="3">
        <v>955550</v>
      </c>
      <c r="G787" s="3">
        <v>851</v>
      </c>
      <c r="H787" s="3">
        <v>162</v>
      </c>
      <c r="I787" s="3" t="s">
        <v>255</v>
      </c>
      <c r="J787" s="18">
        <v>194</v>
      </c>
      <c r="K787" s="18">
        <v>1</v>
      </c>
    </row>
    <row r="788" spans="1:11" ht="25.8" x14ac:dyDescent="0.5">
      <c r="A788" s="2">
        <v>2021</v>
      </c>
      <c r="B788" s="2" t="s">
        <v>50</v>
      </c>
      <c r="C788" s="2" t="s">
        <v>231</v>
      </c>
      <c r="D788" s="2" t="s">
        <v>192</v>
      </c>
      <c r="E788" s="2" t="s">
        <v>22</v>
      </c>
      <c r="F788" s="3">
        <v>966179.2</v>
      </c>
      <c r="G788" s="3">
        <v>851</v>
      </c>
      <c r="H788" s="3">
        <v>162</v>
      </c>
      <c r="I788" s="3" t="s">
        <v>256</v>
      </c>
      <c r="J788" s="18">
        <v>230</v>
      </c>
      <c r="K788" s="18">
        <v>1</v>
      </c>
    </row>
    <row r="789" spans="1:11" ht="25.8" x14ac:dyDescent="0.5">
      <c r="A789" s="2">
        <v>2021</v>
      </c>
      <c r="B789" s="2" t="s">
        <v>18</v>
      </c>
      <c r="C789" s="2" t="s">
        <v>229</v>
      </c>
      <c r="D789" s="2" t="s">
        <v>135</v>
      </c>
      <c r="E789" s="2" t="s">
        <v>14</v>
      </c>
      <c r="F789" s="3">
        <v>972447.84</v>
      </c>
      <c r="G789" s="3">
        <v>975</v>
      </c>
      <c r="H789" s="3">
        <v>282</v>
      </c>
      <c r="I789" s="3" t="s">
        <v>257</v>
      </c>
      <c r="J789" s="18">
        <v>378</v>
      </c>
      <c r="K789" s="18">
        <v>1</v>
      </c>
    </row>
    <row r="790" spans="1:11" ht="25.8" x14ac:dyDescent="0.5">
      <c r="A790" s="2">
        <v>2021</v>
      </c>
      <c r="B790" s="2" t="s">
        <v>27</v>
      </c>
      <c r="C790" s="2" t="s">
        <v>228</v>
      </c>
      <c r="D790" s="2" t="s">
        <v>219</v>
      </c>
      <c r="E790" s="2" t="s">
        <v>38</v>
      </c>
      <c r="F790" s="3">
        <v>972776</v>
      </c>
      <c r="G790" s="3">
        <v>351</v>
      </c>
      <c r="H790" s="3">
        <v>918</v>
      </c>
      <c r="I790" s="3" t="s">
        <v>258</v>
      </c>
      <c r="J790" s="18">
        <v>1882</v>
      </c>
      <c r="K790" s="18">
        <v>1</v>
      </c>
    </row>
    <row r="791" spans="1:11" ht="25.8" x14ac:dyDescent="0.5">
      <c r="A791" s="2">
        <v>2021</v>
      </c>
      <c r="B791" s="2" t="s">
        <v>23</v>
      </c>
      <c r="C791" s="2" t="s">
        <v>228</v>
      </c>
      <c r="D791" s="2" t="s">
        <v>134</v>
      </c>
      <c r="E791" s="2" t="s">
        <v>11</v>
      </c>
      <c r="F791" s="3">
        <v>972776</v>
      </c>
      <c r="G791" s="3">
        <v>573</v>
      </c>
      <c r="H791" s="3">
        <v>784</v>
      </c>
      <c r="I791" s="3" t="s">
        <v>259</v>
      </c>
      <c r="J791" s="18">
        <v>1241</v>
      </c>
      <c r="K791" s="18">
        <v>1</v>
      </c>
    </row>
    <row r="792" spans="1:11" ht="25.8" x14ac:dyDescent="0.5">
      <c r="A792" s="2">
        <v>2021</v>
      </c>
      <c r="B792" s="2" t="s">
        <v>27</v>
      </c>
      <c r="C792" s="2" t="s">
        <v>234</v>
      </c>
      <c r="D792" s="2" t="s">
        <v>181</v>
      </c>
      <c r="E792" s="2" t="s">
        <v>20</v>
      </c>
      <c r="F792" s="3">
        <v>975331</v>
      </c>
      <c r="G792" s="3">
        <v>849</v>
      </c>
      <c r="H792" s="3">
        <v>156</v>
      </c>
      <c r="I792" s="3" t="s">
        <v>260</v>
      </c>
      <c r="J792" s="18">
        <v>192</v>
      </c>
      <c r="K792" s="18">
        <v>1</v>
      </c>
    </row>
    <row r="793" spans="1:11" ht="25.8" x14ac:dyDescent="0.5">
      <c r="A793" s="2">
        <v>2021</v>
      </c>
      <c r="B793" s="2" t="s">
        <v>23</v>
      </c>
      <c r="C793" s="2" t="s">
        <v>235</v>
      </c>
      <c r="D793" s="2" t="s">
        <v>133</v>
      </c>
      <c r="E793" s="2" t="s">
        <v>20</v>
      </c>
      <c r="F793" s="3">
        <v>979711.89119999995</v>
      </c>
      <c r="G793" s="3">
        <v>911</v>
      </c>
      <c r="H793" s="3">
        <v>105</v>
      </c>
      <c r="I793" s="3" t="s">
        <v>261</v>
      </c>
      <c r="J793" s="18">
        <v>156</v>
      </c>
      <c r="K793" s="18">
        <v>1</v>
      </c>
    </row>
    <row r="794" spans="1:11" ht="25.8" x14ac:dyDescent="0.5">
      <c r="A794" s="2">
        <v>2021</v>
      </c>
      <c r="B794" s="2" t="s">
        <v>27</v>
      </c>
      <c r="C794" s="2" t="s">
        <v>235</v>
      </c>
      <c r="D794" s="2" t="s">
        <v>81</v>
      </c>
      <c r="E794" s="2" t="s">
        <v>66</v>
      </c>
      <c r="F794" s="3">
        <v>987995.67999999993</v>
      </c>
      <c r="G794" s="3">
        <v>98</v>
      </c>
      <c r="H794" s="3">
        <v>968</v>
      </c>
      <c r="I794" s="3" t="s">
        <v>250</v>
      </c>
      <c r="J794" s="18">
        <v>1640</v>
      </c>
      <c r="K794" s="18">
        <v>1</v>
      </c>
    </row>
    <row r="795" spans="1:11" ht="25.8" x14ac:dyDescent="0.5">
      <c r="A795" s="2">
        <v>2021</v>
      </c>
      <c r="B795" s="2" t="s">
        <v>50</v>
      </c>
      <c r="C795" s="2" t="s">
        <v>236</v>
      </c>
      <c r="D795" s="2" t="s">
        <v>83</v>
      </c>
      <c r="E795" s="2" t="s">
        <v>26</v>
      </c>
      <c r="F795" s="3">
        <v>1001880.32</v>
      </c>
      <c r="G795" s="3">
        <v>479</v>
      </c>
      <c r="H795" s="3">
        <v>934</v>
      </c>
      <c r="I795" s="3" t="s">
        <v>251</v>
      </c>
      <c r="J795" s="18">
        <v>1714</v>
      </c>
      <c r="K795" s="18">
        <v>1</v>
      </c>
    </row>
    <row r="796" spans="1:11" ht="25.8" x14ac:dyDescent="0.5">
      <c r="A796" s="2">
        <v>2021</v>
      </c>
      <c r="B796" s="2" t="s">
        <v>15</v>
      </c>
      <c r="C796" s="2" t="s">
        <v>9</v>
      </c>
      <c r="D796" s="2" t="s">
        <v>208</v>
      </c>
      <c r="E796" s="2" t="s">
        <v>11</v>
      </c>
      <c r="F796" s="3">
        <v>1019351.2</v>
      </c>
      <c r="G796" s="3">
        <v>386</v>
      </c>
      <c r="H796" s="3">
        <v>287</v>
      </c>
      <c r="I796" s="3" t="s">
        <v>252</v>
      </c>
      <c r="J796" s="18">
        <v>531</v>
      </c>
      <c r="K796" s="18">
        <v>1</v>
      </c>
    </row>
    <row r="797" spans="1:11" ht="25.8" x14ac:dyDescent="0.5">
      <c r="A797" s="2">
        <v>2021</v>
      </c>
      <c r="B797" s="2" t="s">
        <v>18</v>
      </c>
      <c r="C797" s="2" t="s">
        <v>234</v>
      </c>
      <c r="D797" s="2" t="s">
        <v>94</v>
      </c>
      <c r="E797" s="2" t="s">
        <v>14</v>
      </c>
      <c r="F797" s="3">
        <v>1029721.28</v>
      </c>
      <c r="G797" s="3">
        <v>232</v>
      </c>
      <c r="H797" s="3">
        <v>351</v>
      </c>
      <c r="I797" s="3" t="s">
        <v>253</v>
      </c>
      <c r="J797" s="18">
        <v>460</v>
      </c>
      <c r="K797" s="18">
        <v>1</v>
      </c>
    </row>
    <row r="798" spans="1:11" ht="25.8" x14ac:dyDescent="0.5">
      <c r="A798" s="2">
        <v>2021</v>
      </c>
      <c r="B798" s="2" t="s">
        <v>50</v>
      </c>
      <c r="C798" s="2" t="s">
        <v>9</v>
      </c>
      <c r="D798" s="2" t="s">
        <v>212</v>
      </c>
      <c r="E798" s="2" t="s">
        <v>22</v>
      </c>
      <c r="F798" s="3">
        <v>1031250.08</v>
      </c>
      <c r="G798" s="3">
        <v>616</v>
      </c>
      <c r="H798" s="3">
        <v>398</v>
      </c>
      <c r="I798" s="3" t="s">
        <v>254</v>
      </c>
      <c r="J798" s="18">
        <v>673</v>
      </c>
      <c r="K798" s="18">
        <v>1</v>
      </c>
    </row>
    <row r="799" spans="1:11" ht="25.8" x14ac:dyDescent="0.5">
      <c r="A799" s="2">
        <v>2021</v>
      </c>
      <c r="B799" s="2" t="s">
        <v>18</v>
      </c>
      <c r="C799" s="2" t="s">
        <v>232</v>
      </c>
      <c r="D799" s="2" t="s">
        <v>166</v>
      </c>
      <c r="E799" s="2" t="s">
        <v>22</v>
      </c>
      <c r="F799" s="3">
        <v>1032643.36</v>
      </c>
      <c r="G799" s="3">
        <v>61</v>
      </c>
      <c r="H799" s="3">
        <v>28</v>
      </c>
      <c r="I799" s="3" t="s">
        <v>255</v>
      </c>
      <c r="J799" s="18">
        <v>53</v>
      </c>
      <c r="K799" s="18">
        <v>1</v>
      </c>
    </row>
    <row r="800" spans="1:11" ht="25.8" x14ac:dyDescent="0.5">
      <c r="A800" s="2">
        <v>2021</v>
      </c>
      <c r="B800" s="2" t="s">
        <v>8</v>
      </c>
      <c r="C800" s="2" t="s">
        <v>9</v>
      </c>
      <c r="D800" s="2" t="s">
        <v>204</v>
      </c>
      <c r="E800" s="2" t="s">
        <v>20</v>
      </c>
      <c r="F800" s="3">
        <v>1053598.56</v>
      </c>
      <c r="G800" s="3">
        <v>256</v>
      </c>
      <c r="H800" s="3">
        <v>839</v>
      </c>
      <c r="I800" s="3" t="s">
        <v>256</v>
      </c>
      <c r="J800" s="18">
        <v>1995</v>
      </c>
      <c r="K800" s="18">
        <v>1</v>
      </c>
    </row>
    <row r="801" spans="1:11" ht="25.8" x14ac:dyDescent="0.5">
      <c r="A801" s="2">
        <v>2021</v>
      </c>
      <c r="B801" s="2" t="s">
        <v>23</v>
      </c>
      <c r="C801" s="2" t="s">
        <v>233</v>
      </c>
      <c r="D801" s="2" t="s">
        <v>139</v>
      </c>
      <c r="E801" s="2" t="s">
        <v>22</v>
      </c>
      <c r="F801" s="3">
        <v>1055253.92</v>
      </c>
      <c r="G801" s="3">
        <v>843</v>
      </c>
      <c r="H801" s="3">
        <v>839</v>
      </c>
      <c r="I801" s="3" t="s">
        <v>257</v>
      </c>
      <c r="J801" s="18">
        <v>1274</v>
      </c>
      <c r="K801" s="18">
        <v>1</v>
      </c>
    </row>
    <row r="802" spans="1:11" ht="25.8" x14ac:dyDescent="0.5">
      <c r="A802" s="2">
        <v>2021</v>
      </c>
      <c r="B802" s="2" t="s">
        <v>12</v>
      </c>
      <c r="C802" s="2" t="s">
        <v>235</v>
      </c>
      <c r="D802" s="2" t="s">
        <v>194</v>
      </c>
      <c r="E802" s="2" t="s">
        <v>38</v>
      </c>
      <c r="F802" s="3">
        <v>1092711.2</v>
      </c>
      <c r="G802" s="3">
        <v>268</v>
      </c>
      <c r="H802" s="3">
        <v>118</v>
      </c>
      <c r="I802" s="3" t="s">
        <v>258</v>
      </c>
      <c r="J802" s="18">
        <v>212</v>
      </c>
      <c r="K802" s="18">
        <v>1</v>
      </c>
    </row>
    <row r="803" spans="1:11" ht="25.8" x14ac:dyDescent="0.5">
      <c r="A803" s="2">
        <v>2021</v>
      </c>
      <c r="B803" s="2" t="s">
        <v>8</v>
      </c>
      <c r="C803" s="2" t="s">
        <v>9</v>
      </c>
      <c r="D803" s="2" t="s">
        <v>196</v>
      </c>
      <c r="E803" s="2" t="s">
        <v>20</v>
      </c>
      <c r="F803" s="3">
        <v>1102130.3999999999</v>
      </c>
      <c r="G803" s="3">
        <v>256</v>
      </c>
      <c r="H803" s="3">
        <v>839</v>
      </c>
      <c r="I803" s="3" t="s">
        <v>259</v>
      </c>
      <c r="J803" s="18">
        <v>1761</v>
      </c>
      <c r="K803" s="18">
        <v>1</v>
      </c>
    </row>
    <row r="804" spans="1:11" ht="25.8" x14ac:dyDescent="0.5">
      <c r="A804" s="2">
        <v>2021</v>
      </c>
      <c r="B804" s="2" t="s">
        <v>27</v>
      </c>
      <c r="C804" s="2" t="s">
        <v>228</v>
      </c>
      <c r="D804" s="2" t="s">
        <v>206</v>
      </c>
      <c r="E804" s="2" t="s">
        <v>38</v>
      </c>
      <c r="F804" s="3">
        <v>1109916.6399999999</v>
      </c>
      <c r="G804" s="3">
        <v>351</v>
      </c>
      <c r="H804" s="3">
        <v>918</v>
      </c>
      <c r="I804" s="3" t="s">
        <v>260</v>
      </c>
      <c r="J804" s="18">
        <v>1458</v>
      </c>
      <c r="K804" s="18">
        <v>1</v>
      </c>
    </row>
    <row r="805" spans="1:11" ht="25.8" x14ac:dyDescent="0.5">
      <c r="A805" s="2">
        <v>2021</v>
      </c>
      <c r="B805" s="2" t="s">
        <v>29</v>
      </c>
      <c r="C805" s="2" t="s">
        <v>232</v>
      </c>
      <c r="D805" s="2" t="s">
        <v>100</v>
      </c>
      <c r="E805" s="2" t="s">
        <v>38</v>
      </c>
      <c r="F805" s="3">
        <v>1115106.72</v>
      </c>
      <c r="G805" s="3">
        <v>591</v>
      </c>
      <c r="H805" s="3">
        <v>810</v>
      </c>
      <c r="I805" s="3" t="s">
        <v>261</v>
      </c>
      <c r="J805" s="18">
        <v>1961</v>
      </c>
      <c r="K805" s="18">
        <v>1</v>
      </c>
    </row>
    <row r="806" spans="1:11" ht="25.8" x14ac:dyDescent="0.3">
      <c r="A806" s="2">
        <f>SUBTOTAL(103,SalesData[Year])</f>
        <v>804</v>
      </c>
      <c r="B806" s="2"/>
      <c r="C806" s="2"/>
      <c r="D806" s="2"/>
      <c r="E806" s="2"/>
      <c r="F806" s="3">
        <f>SUBTOTAL(109,SalesData[Amount])</f>
        <v>476884225.97747302</v>
      </c>
      <c r="G806" s="3">
        <f>SUBTOTAL(109,SalesData[Offers])</f>
        <v>463456</v>
      </c>
      <c r="H806" s="3">
        <f>SUBTOTAL(109,SalesData[Orders])</f>
        <v>448732</v>
      </c>
      <c r="I806" s="2"/>
      <c r="J806" s="2"/>
      <c r="K806" s="2"/>
    </row>
  </sheetData>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32B7-BEA1-4FD6-87F3-15D6D97C047A}">
  <dimension ref="A3:P38"/>
  <sheetViews>
    <sheetView topLeftCell="I1" zoomScale="59" zoomScaleNormal="54" workbookViewId="0">
      <selection activeCell="O3" sqref="O3:P14"/>
    </sheetView>
  </sheetViews>
  <sheetFormatPr defaultRowHeight="14.4" x14ac:dyDescent="0.3"/>
  <cols>
    <col min="1" max="1" width="29.44140625" bestFit="1" customWidth="1"/>
    <col min="8" max="8" width="18" bestFit="1" customWidth="1"/>
    <col min="9" max="9" width="19.6640625" bestFit="1" customWidth="1"/>
    <col min="11" max="11" width="18" bestFit="1" customWidth="1"/>
    <col min="12" max="12" width="19.6640625" bestFit="1" customWidth="1"/>
    <col min="13" max="13" width="17.44140625" bestFit="1" customWidth="1"/>
    <col min="15" max="15" width="20.5546875" bestFit="1" customWidth="1"/>
    <col min="16" max="16" width="19.5546875" bestFit="1" customWidth="1"/>
    <col min="23" max="23" width="27" bestFit="1" customWidth="1"/>
    <col min="24" max="24" width="27.88671875" bestFit="1" customWidth="1"/>
    <col min="25" max="25" width="25.109375" bestFit="1" customWidth="1"/>
  </cols>
  <sheetData>
    <row r="3" spans="1:16" ht="31.2" x14ac:dyDescent="0.6">
      <c r="A3" s="5" t="s">
        <v>237</v>
      </c>
      <c r="H3" s="11" t="s">
        <v>241</v>
      </c>
      <c r="I3" s="12" t="s">
        <v>237</v>
      </c>
      <c r="K3" s="11" t="s">
        <v>241</v>
      </c>
      <c r="L3" s="12" t="s">
        <v>238</v>
      </c>
      <c r="M3" s="12" t="s">
        <v>239</v>
      </c>
      <c r="O3" s="9" t="s">
        <v>241</v>
      </c>
      <c r="P3" t="s">
        <v>237</v>
      </c>
    </row>
    <row r="4" spans="1:16" ht="31.2" x14ac:dyDescent="0.6">
      <c r="A4" s="7">
        <v>476884225.97747302</v>
      </c>
      <c r="H4" s="13">
        <v>2021</v>
      </c>
      <c r="I4" s="14">
        <v>96776538.179199994</v>
      </c>
      <c r="K4" s="13">
        <v>2021</v>
      </c>
      <c r="L4" s="14">
        <v>108094</v>
      </c>
      <c r="M4" s="14">
        <v>108120</v>
      </c>
      <c r="O4" s="10" t="s">
        <v>127</v>
      </c>
      <c r="P4" s="4">
        <v>5594929.8531840006</v>
      </c>
    </row>
    <row r="5" spans="1:16" ht="19.8" x14ac:dyDescent="0.4">
      <c r="H5" s="13">
        <v>2022</v>
      </c>
      <c r="I5" s="14">
        <v>108753358.56</v>
      </c>
      <c r="K5" s="13">
        <v>2022</v>
      </c>
      <c r="L5" s="14">
        <v>112704</v>
      </c>
      <c r="M5" s="14">
        <v>118923</v>
      </c>
      <c r="O5" s="10" t="s">
        <v>142</v>
      </c>
      <c r="P5" s="4">
        <v>5697306.1393920006</v>
      </c>
    </row>
    <row r="6" spans="1:16" ht="19.8" x14ac:dyDescent="0.4">
      <c r="H6" s="13">
        <v>2023</v>
      </c>
      <c r="I6" s="14">
        <v>111014327.55839995</v>
      </c>
      <c r="K6" s="13">
        <v>2023</v>
      </c>
      <c r="L6" s="14">
        <v>112445</v>
      </c>
      <c r="M6" s="14">
        <v>117691</v>
      </c>
      <c r="O6" s="10" t="s">
        <v>158</v>
      </c>
      <c r="P6" s="4">
        <v>5212820.4817919992</v>
      </c>
    </row>
    <row r="7" spans="1:16" ht="19.8" x14ac:dyDescent="0.4">
      <c r="H7" s="13">
        <v>2024</v>
      </c>
      <c r="I7" s="14">
        <v>160340001.67987177</v>
      </c>
      <c r="K7" s="13">
        <v>2024</v>
      </c>
      <c r="L7" s="14">
        <v>115489</v>
      </c>
      <c r="M7" s="14">
        <v>118722</v>
      </c>
      <c r="O7" s="10" t="s">
        <v>174</v>
      </c>
      <c r="P7" s="4">
        <v>5273464.390656</v>
      </c>
    </row>
    <row r="8" spans="1:16" ht="19.8" x14ac:dyDescent="0.4">
      <c r="H8" s="13" t="s">
        <v>242</v>
      </c>
      <c r="I8" s="14">
        <v>476884225.97747171</v>
      </c>
      <c r="K8" s="13" t="s">
        <v>242</v>
      </c>
      <c r="L8" s="14">
        <v>448732</v>
      </c>
      <c r="M8" s="14">
        <v>463456</v>
      </c>
      <c r="O8" s="10" t="s">
        <v>177</v>
      </c>
      <c r="P8" s="4">
        <v>10803857.069824001</v>
      </c>
    </row>
    <row r="9" spans="1:16" ht="19.8" x14ac:dyDescent="0.4">
      <c r="O9" s="10" t="s">
        <v>181</v>
      </c>
      <c r="P9" s="4">
        <v>5996733.1007359996</v>
      </c>
    </row>
    <row r="10" spans="1:16" ht="19.8" x14ac:dyDescent="0.4">
      <c r="O10" s="10" t="s">
        <v>47</v>
      </c>
      <c r="P10" s="4">
        <v>5984702.2413439993</v>
      </c>
    </row>
    <row r="11" spans="1:16" ht="19.8" x14ac:dyDescent="0.4">
      <c r="H11" s="11" t="s">
        <v>241</v>
      </c>
      <c r="I11" s="12" t="s">
        <v>237</v>
      </c>
      <c r="K11" s="11" t="s">
        <v>241</v>
      </c>
      <c r="L11" s="12" t="s">
        <v>237</v>
      </c>
      <c r="O11" s="10" t="s">
        <v>99</v>
      </c>
      <c r="P11" s="4">
        <v>5991924.2181119993</v>
      </c>
    </row>
    <row r="12" spans="1:16" ht="19.8" x14ac:dyDescent="0.4">
      <c r="H12" s="13" t="s">
        <v>66</v>
      </c>
      <c r="I12" s="14">
        <v>47264208.862143964</v>
      </c>
      <c r="K12" s="13" t="s">
        <v>11</v>
      </c>
      <c r="L12" s="14">
        <v>32889140.813312039</v>
      </c>
      <c r="O12" s="10" t="s">
        <v>113</v>
      </c>
      <c r="P12" s="4">
        <v>5666278.0195839992</v>
      </c>
    </row>
    <row r="13" spans="1:16" ht="19.8" x14ac:dyDescent="0.4">
      <c r="H13" s="13" t="s">
        <v>38</v>
      </c>
      <c r="I13" s="14">
        <v>38777680.029376</v>
      </c>
      <c r="K13" s="13" t="s">
        <v>14</v>
      </c>
      <c r="L13" s="14">
        <v>68979430.933247998</v>
      </c>
      <c r="O13" s="10" t="s">
        <v>124</v>
      </c>
      <c r="P13" s="4">
        <v>6195274.323392</v>
      </c>
    </row>
    <row r="14" spans="1:16" ht="19.8" x14ac:dyDescent="0.4">
      <c r="H14" s="13" t="s">
        <v>35</v>
      </c>
      <c r="I14" s="14">
        <v>55340609.207808003</v>
      </c>
      <c r="K14" s="13" t="s">
        <v>17</v>
      </c>
      <c r="L14" s="14">
        <v>38584046.809023999</v>
      </c>
      <c r="O14" s="10" t="s">
        <v>242</v>
      </c>
      <c r="P14" s="4">
        <v>62417289.838016003</v>
      </c>
    </row>
    <row r="15" spans="1:16" ht="31.2" x14ac:dyDescent="0.6">
      <c r="A15" s="5" t="s">
        <v>238</v>
      </c>
      <c r="H15" s="13" t="s">
        <v>26</v>
      </c>
      <c r="I15" s="14">
        <v>54140440.293567978</v>
      </c>
      <c r="K15" s="13" t="s">
        <v>20</v>
      </c>
      <c r="L15" s="14">
        <v>69405218.359999999</v>
      </c>
    </row>
    <row r="16" spans="1:16" ht="31.2" x14ac:dyDescent="0.6">
      <c r="A16" s="6">
        <v>448732</v>
      </c>
      <c r="H16" s="13" t="s">
        <v>22</v>
      </c>
      <c r="I16" s="14">
        <v>71503450.668992013</v>
      </c>
      <c r="K16" s="13" t="s">
        <v>22</v>
      </c>
      <c r="L16" s="14">
        <v>71503450.668992013</v>
      </c>
    </row>
    <row r="17" spans="1:12" ht="19.8" x14ac:dyDescent="0.4">
      <c r="H17" s="13" t="s">
        <v>20</v>
      </c>
      <c r="I17" s="14">
        <v>69405218.359999999</v>
      </c>
      <c r="K17" s="13" t="s">
        <v>26</v>
      </c>
      <c r="L17" s="14">
        <v>54140440.293567978</v>
      </c>
    </row>
    <row r="18" spans="1:12" ht="19.8" x14ac:dyDescent="0.4">
      <c r="H18" s="13" t="s">
        <v>17</v>
      </c>
      <c r="I18" s="14">
        <v>38584046.809023999</v>
      </c>
      <c r="K18" s="13" t="s">
        <v>35</v>
      </c>
      <c r="L18" s="14">
        <v>55340609.207808003</v>
      </c>
    </row>
    <row r="19" spans="1:12" ht="19.8" x14ac:dyDescent="0.4">
      <c r="H19" s="13" t="s">
        <v>14</v>
      </c>
      <c r="I19" s="14">
        <v>68979430.933247998</v>
      </c>
      <c r="K19" s="13" t="s">
        <v>38</v>
      </c>
      <c r="L19" s="14">
        <v>38777680.029376</v>
      </c>
    </row>
    <row r="20" spans="1:12" ht="19.8" x14ac:dyDescent="0.4">
      <c r="H20" s="13" t="s">
        <v>11</v>
      </c>
      <c r="I20" s="14">
        <v>32889140.813312039</v>
      </c>
      <c r="K20" s="13" t="s">
        <v>66</v>
      </c>
      <c r="L20" s="14">
        <v>47264208.862143964</v>
      </c>
    </row>
    <row r="21" spans="1:12" ht="19.8" x14ac:dyDescent="0.4">
      <c r="H21" s="13" t="s">
        <v>242</v>
      </c>
      <c r="I21" s="14">
        <v>476884225.97747201</v>
      </c>
      <c r="K21" s="13" t="s">
        <v>242</v>
      </c>
      <c r="L21" s="14">
        <v>476884225.97747195</v>
      </c>
    </row>
    <row r="24" spans="1:12" ht="19.8" x14ac:dyDescent="0.4">
      <c r="H24" s="11" t="s">
        <v>241</v>
      </c>
      <c r="I24" s="12" t="s">
        <v>237</v>
      </c>
    </row>
    <row r="25" spans="1:12" ht="19.8" x14ac:dyDescent="0.4">
      <c r="H25" s="13" t="s">
        <v>54</v>
      </c>
      <c r="I25" s="14">
        <v>27231292.423168004</v>
      </c>
    </row>
    <row r="26" spans="1:12" ht="31.2" x14ac:dyDescent="0.6">
      <c r="A26" s="5" t="s">
        <v>239</v>
      </c>
      <c r="H26" s="13" t="s">
        <v>50</v>
      </c>
      <c r="I26" s="14">
        <v>72576812.604863971</v>
      </c>
    </row>
    <row r="27" spans="1:12" ht="31.2" x14ac:dyDescent="0.6">
      <c r="A27" s="6">
        <v>463456</v>
      </c>
      <c r="H27" s="13" t="s">
        <v>29</v>
      </c>
      <c r="I27" s="14">
        <v>38967818.394175984</v>
      </c>
    </row>
    <row r="28" spans="1:12" ht="19.8" x14ac:dyDescent="0.4">
      <c r="H28" s="13" t="s">
        <v>27</v>
      </c>
      <c r="I28" s="14">
        <v>57629535.463295981</v>
      </c>
    </row>
    <row r="29" spans="1:12" ht="19.8" x14ac:dyDescent="0.4">
      <c r="H29" s="13" t="s">
        <v>23</v>
      </c>
      <c r="I29" s="14">
        <v>29276846.823679999</v>
      </c>
    </row>
    <row r="30" spans="1:12" ht="19.8" x14ac:dyDescent="0.4">
      <c r="H30" s="13" t="s">
        <v>18</v>
      </c>
      <c r="I30" s="14">
        <v>73995247.361151993</v>
      </c>
    </row>
    <row r="31" spans="1:12" ht="19.8" x14ac:dyDescent="0.4">
      <c r="H31" s="13" t="s">
        <v>15</v>
      </c>
      <c r="I31" s="14">
        <v>37042038.400256008</v>
      </c>
    </row>
    <row r="32" spans="1:12" ht="19.8" x14ac:dyDescent="0.4">
      <c r="H32" s="13" t="s">
        <v>12</v>
      </c>
      <c r="I32" s="14">
        <v>64865930.992895998</v>
      </c>
    </row>
    <row r="33" spans="1:9" ht="19.8" x14ac:dyDescent="0.4">
      <c r="H33" s="13" t="s">
        <v>59</v>
      </c>
      <c r="I33" s="14">
        <v>37581014.665215984</v>
      </c>
    </row>
    <row r="34" spans="1:9" ht="19.8" x14ac:dyDescent="0.4">
      <c r="H34" s="13" t="s">
        <v>8</v>
      </c>
      <c r="I34" s="14">
        <v>37717688.848767996</v>
      </c>
    </row>
    <row r="35" spans="1:9" ht="19.8" x14ac:dyDescent="0.4">
      <c r="H35" s="13" t="s">
        <v>242</v>
      </c>
      <c r="I35" s="14">
        <v>476884225.97747189</v>
      </c>
    </row>
    <row r="37" spans="1:9" ht="31.2" x14ac:dyDescent="0.6">
      <c r="A37" s="8" t="s">
        <v>240</v>
      </c>
    </row>
    <row r="38" spans="1:9" ht="31.2" x14ac:dyDescent="0.6">
      <c r="A38" s="5">
        <f>COUNTA(_xlfn.UNIQUE(SalesData[Customer]))</f>
        <v>200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289D-7FA9-4A9F-A9CD-905BBB6DD131}">
  <dimension ref="A1:AC77"/>
  <sheetViews>
    <sheetView tabSelected="1" topLeftCell="A58" zoomScale="38" zoomScaleNormal="10" workbookViewId="0">
      <selection activeCell="A78" sqref="A78"/>
    </sheetView>
  </sheetViews>
  <sheetFormatPr defaultRowHeight="14.4" x14ac:dyDescent="0.3"/>
  <cols>
    <col min="1" max="1" width="8.88671875" style="15"/>
    <col min="2" max="2" width="9.33203125" style="15" customWidth="1"/>
    <col min="3" max="16384" width="8.88671875" style="15"/>
  </cols>
  <sheetData>
    <row r="1" spans="1:29" ht="43.2" x14ac:dyDescent="0.9">
      <c r="A1" s="28" t="s">
        <v>243</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row>
    <row r="77" spans="1:29" x14ac:dyDescent="0.3">
      <c r="A77" s="30" t="s">
        <v>269</v>
      </c>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row>
  </sheetData>
  <mergeCells count="2">
    <mergeCell ref="A1:AC1"/>
    <mergeCell ref="A77:AC7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A1F5-DDD5-4470-86F5-03B153E21553}">
  <dimension ref="A3:I71"/>
  <sheetViews>
    <sheetView topLeftCell="D42" zoomScale="73" zoomScaleNormal="144" workbookViewId="0">
      <selection activeCell="H55" sqref="H55:L60"/>
    </sheetView>
  </sheetViews>
  <sheetFormatPr defaultRowHeight="14.4" x14ac:dyDescent="0.3"/>
  <cols>
    <col min="1" max="1" width="42.109375" bestFit="1" customWidth="1"/>
    <col min="6" max="6" width="8.21875" customWidth="1"/>
    <col min="8" max="8" width="17.33203125" bestFit="1" customWidth="1"/>
    <col min="9" max="9" width="26.109375" bestFit="1" customWidth="1"/>
    <col min="10" max="10" width="8.44140625" bestFit="1" customWidth="1"/>
    <col min="11" max="11" width="11.5546875" bestFit="1" customWidth="1"/>
    <col min="12" max="12" width="10" bestFit="1" customWidth="1"/>
    <col min="13" max="13" width="12.88671875" bestFit="1" customWidth="1"/>
  </cols>
  <sheetData>
    <row r="3" spans="1:9" ht="31.2" x14ac:dyDescent="0.6">
      <c r="A3" s="5" t="s">
        <v>237</v>
      </c>
      <c r="H3" s="11" t="s">
        <v>241</v>
      </c>
      <c r="I3" s="12" t="s">
        <v>237</v>
      </c>
    </row>
    <row r="4" spans="1:9" ht="31.2" x14ac:dyDescent="0.6">
      <c r="A4" s="19">
        <v>476884225.97747302</v>
      </c>
      <c r="H4" s="13">
        <v>2021</v>
      </c>
      <c r="I4" s="14">
        <v>96776538.179199994</v>
      </c>
    </row>
    <row r="5" spans="1:9" ht="19.8" x14ac:dyDescent="0.4">
      <c r="H5" s="13">
        <v>2022</v>
      </c>
      <c r="I5" s="14">
        <v>108753358.56</v>
      </c>
    </row>
    <row r="6" spans="1:9" ht="19.8" x14ac:dyDescent="0.4">
      <c r="H6" s="13">
        <v>2023</v>
      </c>
      <c r="I6" s="14">
        <v>111014327.55839995</v>
      </c>
    </row>
    <row r="7" spans="1:9" ht="19.8" x14ac:dyDescent="0.4">
      <c r="H7" s="13">
        <v>2024</v>
      </c>
      <c r="I7" s="14">
        <v>160340001.67987177</v>
      </c>
    </row>
    <row r="8" spans="1:9" ht="19.8" x14ac:dyDescent="0.4">
      <c r="H8" s="13" t="s">
        <v>242</v>
      </c>
      <c r="I8" s="14">
        <v>476884225.97747171</v>
      </c>
    </row>
    <row r="11" spans="1:9" ht="19.8" x14ac:dyDescent="0.4">
      <c r="H11" s="11" t="s">
        <v>241</v>
      </c>
      <c r="I11" s="12" t="s">
        <v>237</v>
      </c>
    </row>
    <row r="12" spans="1:9" ht="19.8" x14ac:dyDescent="0.4">
      <c r="H12" s="13" t="s">
        <v>11</v>
      </c>
      <c r="I12" s="14">
        <v>32889140.813312039</v>
      </c>
    </row>
    <row r="13" spans="1:9" ht="31.2" x14ac:dyDescent="0.6">
      <c r="A13" s="5" t="s">
        <v>238</v>
      </c>
      <c r="H13" s="13" t="s">
        <v>14</v>
      </c>
      <c r="I13" s="14">
        <v>68979430.933247998</v>
      </c>
    </row>
    <row r="14" spans="1:9" ht="31.2" x14ac:dyDescent="0.6">
      <c r="A14" s="6">
        <v>448732</v>
      </c>
      <c r="H14" s="13" t="s">
        <v>17</v>
      </c>
      <c r="I14" s="14">
        <v>38584046.809023999</v>
      </c>
    </row>
    <row r="15" spans="1:9" ht="19.8" x14ac:dyDescent="0.4">
      <c r="H15" s="13" t="s">
        <v>20</v>
      </c>
      <c r="I15" s="14">
        <v>69405218.359999999</v>
      </c>
    </row>
    <row r="16" spans="1:9" ht="19.8" x14ac:dyDescent="0.4">
      <c r="H16" s="13" t="s">
        <v>22</v>
      </c>
      <c r="I16" s="14">
        <v>71503450.668992013</v>
      </c>
    </row>
    <row r="17" spans="1:9" ht="19.8" x14ac:dyDescent="0.4">
      <c r="H17" s="13" t="s">
        <v>26</v>
      </c>
      <c r="I17" s="14">
        <v>54140440.293567978</v>
      </c>
    </row>
    <row r="18" spans="1:9" ht="19.8" x14ac:dyDescent="0.4">
      <c r="H18" s="13" t="s">
        <v>35</v>
      </c>
      <c r="I18" s="14">
        <v>55340609.207808003</v>
      </c>
    </row>
    <row r="19" spans="1:9" ht="19.8" x14ac:dyDescent="0.4">
      <c r="H19" s="13" t="s">
        <v>38</v>
      </c>
      <c r="I19" s="14">
        <v>38777680.029376</v>
      </c>
    </row>
    <row r="20" spans="1:9" ht="19.8" x14ac:dyDescent="0.4">
      <c r="H20" s="13" t="s">
        <v>66</v>
      </c>
      <c r="I20" s="14">
        <v>47264208.862143964</v>
      </c>
    </row>
    <row r="21" spans="1:9" ht="19.8" x14ac:dyDescent="0.4">
      <c r="H21" s="13" t="s">
        <v>242</v>
      </c>
      <c r="I21" s="14">
        <v>476884225.97747195</v>
      </c>
    </row>
    <row r="24" spans="1:9" ht="19.8" x14ac:dyDescent="0.4">
      <c r="H24" s="11" t="s">
        <v>241</v>
      </c>
      <c r="I24" s="12" t="s">
        <v>244</v>
      </c>
    </row>
    <row r="25" spans="1:9" ht="19.8" x14ac:dyDescent="0.4">
      <c r="H25" s="16">
        <v>1380748.9651199998</v>
      </c>
      <c r="I25" s="29">
        <v>22</v>
      </c>
    </row>
    <row r="26" spans="1:9" ht="31.2" x14ac:dyDescent="0.6">
      <c r="A26" s="5" t="s">
        <v>239</v>
      </c>
      <c r="H26" s="16">
        <v>972776</v>
      </c>
      <c r="I26" s="29">
        <v>8</v>
      </c>
    </row>
    <row r="27" spans="1:9" ht="31.2" x14ac:dyDescent="0.6">
      <c r="A27" s="6">
        <v>463456</v>
      </c>
      <c r="H27" s="16">
        <v>692508.32</v>
      </c>
      <c r="I27" s="29">
        <v>9</v>
      </c>
    </row>
    <row r="28" spans="1:9" ht="19.8" x14ac:dyDescent="0.4">
      <c r="H28" s="16">
        <v>482446.72</v>
      </c>
      <c r="I28" s="29">
        <v>8</v>
      </c>
    </row>
    <row r="29" spans="1:9" ht="19.8" x14ac:dyDescent="0.4">
      <c r="H29" s="16">
        <v>472993.92</v>
      </c>
      <c r="I29" s="29">
        <v>18</v>
      </c>
    </row>
    <row r="30" spans="1:9" ht="19.8" x14ac:dyDescent="0.4">
      <c r="H30" s="16">
        <v>396397.12</v>
      </c>
      <c r="I30" s="29">
        <v>9</v>
      </c>
    </row>
    <row r="31" spans="1:9" ht="19.8" x14ac:dyDescent="0.4">
      <c r="H31" s="16">
        <v>209059.20000000001</v>
      </c>
      <c r="I31" s="29">
        <v>21</v>
      </c>
    </row>
    <row r="32" spans="1:9" ht="19.8" x14ac:dyDescent="0.4">
      <c r="H32" s="16">
        <v>186455.36</v>
      </c>
      <c r="I32" s="29">
        <v>10</v>
      </c>
    </row>
    <row r="33" spans="1:9" ht="19.8" x14ac:dyDescent="0.4">
      <c r="H33" s="16">
        <v>185506.72</v>
      </c>
      <c r="I33" s="29">
        <v>13</v>
      </c>
    </row>
    <row r="34" spans="1:9" ht="19.8" x14ac:dyDescent="0.4">
      <c r="H34" s="16">
        <v>151026.4</v>
      </c>
      <c r="I34" s="29">
        <v>16</v>
      </c>
    </row>
    <row r="35" spans="1:9" ht="19.8" x14ac:dyDescent="0.4">
      <c r="H35" s="16">
        <v>148080.79999999999</v>
      </c>
      <c r="I35" s="29">
        <v>22</v>
      </c>
    </row>
    <row r="36" spans="1:9" ht="19.8" x14ac:dyDescent="0.4">
      <c r="H36" s="16" t="s">
        <v>242</v>
      </c>
      <c r="I36" s="29">
        <v>156</v>
      </c>
    </row>
    <row r="38" spans="1:9" ht="31.2" x14ac:dyDescent="0.6">
      <c r="A38" s="5" t="s">
        <v>244</v>
      </c>
    </row>
    <row r="39" spans="1:9" ht="31.2" x14ac:dyDescent="0.6">
      <c r="A39" s="5">
        <v>804</v>
      </c>
      <c r="H39" s="11" t="s">
        <v>241</v>
      </c>
      <c r="I39" s="12" t="s">
        <v>237</v>
      </c>
    </row>
    <row r="40" spans="1:9" ht="19.8" x14ac:dyDescent="0.4">
      <c r="H40" s="13" t="s">
        <v>250</v>
      </c>
      <c r="I40" s="14">
        <v>38845507.565567985</v>
      </c>
    </row>
    <row r="41" spans="1:9" ht="19.8" x14ac:dyDescent="0.4">
      <c r="H41" s="13" t="s">
        <v>251</v>
      </c>
      <c r="I41" s="14">
        <v>39156117.030207999</v>
      </c>
    </row>
    <row r="42" spans="1:9" ht="19.8" x14ac:dyDescent="0.4">
      <c r="H42" s="13" t="s">
        <v>252</v>
      </c>
      <c r="I42" s="14">
        <v>39569345.516800001</v>
      </c>
    </row>
    <row r="43" spans="1:9" ht="19.8" x14ac:dyDescent="0.4">
      <c r="H43" s="13" t="s">
        <v>253</v>
      </c>
      <c r="I43" s="14">
        <v>39908747.582720004</v>
      </c>
    </row>
    <row r="44" spans="1:9" ht="19.8" x14ac:dyDescent="0.4">
      <c r="H44" s="13" t="s">
        <v>254</v>
      </c>
      <c r="I44" s="14">
        <v>39218756.307519995</v>
      </c>
    </row>
    <row r="45" spans="1:9" ht="19.8" x14ac:dyDescent="0.4">
      <c r="H45" s="13" t="s">
        <v>255</v>
      </c>
      <c r="I45" s="14">
        <v>39533511.508479998</v>
      </c>
    </row>
    <row r="46" spans="1:9" ht="19.8" x14ac:dyDescent="0.4">
      <c r="H46" s="13" t="s">
        <v>256</v>
      </c>
      <c r="I46" s="14">
        <v>39796374.339583993</v>
      </c>
    </row>
    <row r="47" spans="1:9" ht="19.8" x14ac:dyDescent="0.4">
      <c r="H47" s="13" t="s">
        <v>257</v>
      </c>
      <c r="I47" s="14">
        <v>40228363.426688001</v>
      </c>
    </row>
    <row r="48" spans="1:9" ht="19.8" x14ac:dyDescent="0.4">
      <c r="H48" s="13" t="s">
        <v>258</v>
      </c>
      <c r="I48" s="14">
        <v>39582115.525823995</v>
      </c>
    </row>
    <row r="49" spans="1:9" ht="19.8" x14ac:dyDescent="0.4">
      <c r="H49" s="13" t="s">
        <v>259</v>
      </c>
      <c r="I49" s="14">
        <v>39942775.196096011</v>
      </c>
    </row>
    <row r="50" spans="1:9" ht="31.2" x14ac:dyDescent="0.6">
      <c r="A50" s="8" t="s">
        <v>240</v>
      </c>
      <c r="H50" s="13" t="s">
        <v>260</v>
      </c>
      <c r="I50" s="14">
        <v>40334830.266751997</v>
      </c>
    </row>
    <row r="51" spans="1:9" ht="31.2" x14ac:dyDescent="0.6">
      <c r="A51" s="5">
        <f>COUNTA(_xlfn.UNIQUE(SalesData[Customer]))</f>
        <v>200</v>
      </c>
      <c r="H51" s="13" t="s">
        <v>261</v>
      </c>
      <c r="I51" s="14">
        <v>40767781.711231977</v>
      </c>
    </row>
    <row r="52" spans="1:9" ht="19.8" x14ac:dyDescent="0.4">
      <c r="H52" s="13" t="s">
        <v>242</v>
      </c>
      <c r="I52" s="14">
        <v>476884225.97747195</v>
      </c>
    </row>
    <row r="54" spans="1:9" ht="31.2" x14ac:dyDescent="0.6">
      <c r="A54" s="8" t="s">
        <v>245</v>
      </c>
    </row>
    <row r="55" spans="1:9" ht="31.2" x14ac:dyDescent="0.6">
      <c r="A55" s="7">
        <f>GETPIVOTDATA("Amount",$A$3)/GETPIVOTDATA("Orders",$A$13)</f>
        <v>1062.7372818909128</v>
      </c>
    </row>
    <row r="58" spans="1:9" ht="31.2" x14ac:dyDescent="0.6">
      <c r="A58" s="5" t="s">
        <v>262</v>
      </c>
    </row>
    <row r="59" spans="1:9" ht="31.2" x14ac:dyDescent="0.6">
      <c r="A59" s="5">
        <v>806748</v>
      </c>
    </row>
    <row r="70" spans="1:1" ht="31.2" x14ac:dyDescent="0.6">
      <c r="A70" s="5" t="s">
        <v>263</v>
      </c>
    </row>
    <row r="71" spans="1:1" ht="31.2" x14ac:dyDescent="0.6">
      <c r="A71" s="5">
        <v>804</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E034-EC02-4E8B-9D02-9269554D1019}">
  <dimension ref="A1:AC55"/>
  <sheetViews>
    <sheetView topLeftCell="A12" zoomScale="42" workbookViewId="0">
      <selection activeCell="A55" sqref="A55:AC55"/>
    </sheetView>
  </sheetViews>
  <sheetFormatPr defaultRowHeight="14.4" x14ac:dyDescent="0.3"/>
  <cols>
    <col min="1" max="1" width="8.88671875" style="15"/>
    <col min="2" max="2" width="26" style="15" bestFit="1" customWidth="1"/>
    <col min="3" max="3" width="20.44140625" style="15" bestFit="1" customWidth="1"/>
    <col min="4" max="4" width="13.33203125" style="15" bestFit="1" customWidth="1"/>
    <col min="5" max="17" width="8.88671875" style="15"/>
    <col min="18" max="18" width="9" style="15" bestFit="1" customWidth="1"/>
    <col min="19" max="19" width="12.33203125" style="15" customWidth="1"/>
    <col min="20" max="20" width="9" style="15" bestFit="1" customWidth="1"/>
    <col min="21" max="21" width="22" style="15" bestFit="1" customWidth="1"/>
    <col min="22" max="22" width="25.109375" style="15" bestFit="1" customWidth="1"/>
    <col min="23" max="23" width="16.44140625" style="15" bestFit="1" customWidth="1"/>
    <col min="24" max="24" width="23.88671875" style="15" bestFit="1" customWidth="1"/>
    <col min="25" max="25" width="20.21875" style="15" bestFit="1" customWidth="1"/>
    <col min="26" max="16384" width="8.88671875" style="15"/>
  </cols>
  <sheetData>
    <row r="1" spans="1:29" ht="40.799999999999997" x14ac:dyDescent="0.8">
      <c r="A1" s="27" t="s">
        <v>268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row>
    <row r="34" spans="2:25" ht="19.8" x14ac:dyDescent="0.4">
      <c r="B34" s="20" t="s">
        <v>3</v>
      </c>
      <c r="C34" s="20" t="s">
        <v>237</v>
      </c>
      <c r="D34" s="24" t="s">
        <v>246</v>
      </c>
      <c r="U34" s="22" t="s">
        <v>0</v>
      </c>
      <c r="V34" s="22" t="s">
        <v>264</v>
      </c>
      <c r="W34" s="22" t="s">
        <v>266</v>
      </c>
      <c r="X34" s="22" t="s">
        <v>265</v>
      </c>
      <c r="Y34" s="22" t="s">
        <v>267</v>
      </c>
    </row>
    <row r="35" spans="2:25" ht="19.8" x14ac:dyDescent="0.4">
      <c r="B35" s="20" t="s">
        <v>127</v>
      </c>
      <c r="C35" s="21">
        <v>5594929.8531840006</v>
      </c>
      <c r="D35" s="25">
        <f>GETPIVOTDATA("Amount",$B$34,"Customer","Customer Name 100")/GETPIVOTDATA("Amount",Tables2!$A$3)</f>
        <v>1.1732260260267642E-2</v>
      </c>
      <c r="U35" s="22">
        <v>2021</v>
      </c>
      <c r="V35" s="23">
        <v>96776538.179199994</v>
      </c>
      <c r="W35" s="22">
        <v>192263</v>
      </c>
      <c r="X35" s="22">
        <v>200</v>
      </c>
      <c r="Y35" s="22">
        <v>200</v>
      </c>
    </row>
    <row r="36" spans="2:25" ht="19.8" x14ac:dyDescent="0.4">
      <c r="B36" s="20" t="s">
        <v>142</v>
      </c>
      <c r="C36" s="21">
        <v>5697306.1393920006</v>
      </c>
      <c r="D36" s="25">
        <f>GETPIVOTDATA("Amount",$B$34,"Customer","Customer Name 115")/GETPIVOTDATA("Amount",Tables2!$A$3)</f>
        <v>1.1946937703200796E-2</v>
      </c>
      <c r="U36" s="22">
        <v>2022</v>
      </c>
      <c r="V36" s="23">
        <v>108753358.56</v>
      </c>
      <c r="W36" s="22">
        <v>202140</v>
      </c>
      <c r="X36" s="22">
        <v>200</v>
      </c>
      <c r="Y36" s="22">
        <v>200</v>
      </c>
    </row>
    <row r="37" spans="2:25" ht="19.8" x14ac:dyDescent="0.4">
      <c r="B37" s="20" t="s">
        <v>158</v>
      </c>
      <c r="C37" s="21">
        <v>5212820.4817919992</v>
      </c>
      <c r="D37" s="25">
        <f>GETPIVOTDATA("Amount",$B$34,"Customer","Customer Name 131")/GETPIVOTDATA("Amount",Tables2!$A$3)</f>
        <v>1.0930997919059377E-2</v>
      </c>
      <c r="U37" s="22">
        <v>2023</v>
      </c>
      <c r="V37" s="23">
        <v>111014327.55839995</v>
      </c>
      <c r="W37" s="22">
        <v>199765</v>
      </c>
      <c r="X37" s="22">
        <v>200</v>
      </c>
      <c r="Y37" s="22">
        <v>200</v>
      </c>
    </row>
    <row r="38" spans="2:25" ht="19.8" x14ac:dyDescent="0.4">
      <c r="B38" s="20" t="s">
        <v>174</v>
      </c>
      <c r="C38" s="21">
        <v>5273464.390656</v>
      </c>
      <c r="D38" s="25">
        <f>GETPIVOTDATA("Amount",$B$34,"Customer","Customer Name 147")/GETPIVOTDATA("Amount",Tables2!$A$3)</f>
        <v>1.1058164861391551E-2</v>
      </c>
      <c r="U38" s="22">
        <v>2024</v>
      </c>
      <c r="V38" s="23">
        <v>160340001.67987177</v>
      </c>
      <c r="W38" s="22">
        <v>212580</v>
      </c>
      <c r="X38" s="22">
        <v>204</v>
      </c>
      <c r="Y38" s="22">
        <v>204</v>
      </c>
    </row>
    <row r="39" spans="2:25" ht="19.8" x14ac:dyDescent="0.4">
      <c r="B39" s="20" t="s">
        <v>177</v>
      </c>
      <c r="C39" s="21">
        <v>10803857.069824001</v>
      </c>
      <c r="D39" s="25">
        <f>GETPIVOTDATA("Amount",$B$34,"Customer","Customer Name 150")/GETPIVOTDATA("Amount",Tables2!$A$3)</f>
        <v>2.2655094216377691E-2</v>
      </c>
      <c r="U39" s="22" t="s">
        <v>242</v>
      </c>
      <c r="V39" s="23">
        <v>476884225.9774729</v>
      </c>
      <c r="W39" s="22">
        <v>806748</v>
      </c>
      <c r="X39" s="22">
        <v>804</v>
      </c>
      <c r="Y39" s="22">
        <v>804</v>
      </c>
    </row>
    <row r="40" spans="2:25" ht="19.8" x14ac:dyDescent="0.4">
      <c r="B40" s="20" t="s">
        <v>181</v>
      </c>
      <c r="C40" s="21">
        <v>5996733.1007359996</v>
      </c>
      <c r="D40" s="25">
        <f>GETPIVOTDATA("Amount",$B$34,"Customer","Customer Name 154")/GETPIVOTDATA("Amount",Tables2!$A$3)</f>
        <v>1.2574819576899305E-2</v>
      </c>
    </row>
    <row r="41" spans="2:25" ht="19.8" x14ac:dyDescent="0.4">
      <c r="B41" s="20" t="s">
        <v>47</v>
      </c>
      <c r="C41" s="21">
        <v>5984702.2413439993</v>
      </c>
      <c r="D41" s="25">
        <f>GETPIVOTDATA("Amount",$B$34,"Customer","Customer Name 24")/GETPIVOTDATA("Amount",Tables2!$A$3)</f>
        <v>1.2549591526281064E-2</v>
      </c>
    </row>
    <row r="42" spans="2:25" ht="19.8" x14ac:dyDescent="0.4">
      <c r="B42" s="20" t="s">
        <v>99</v>
      </c>
      <c r="C42" s="21">
        <v>5991924.2181119993</v>
      </c>
      <c r="D42" s="25">
        <f>GETPIVOTDATA("Amount",$B$34,"Customer","Customer Name 72")/GETPIVOTDATA("Amount",Tables2!$A$3)</f>
        <v>1.2564735614457177E-2</v>
      </c>
    </row>
    <row r="43" spans="2:25" ht="19.8" x14ac:dyDescent="0.4">
      <c r="B43" s="20" t="s">
        <v>113</v>
      </c>
      <c r="C43" s="21">
        <v>5666278.0195839992</v>
      </c>
      <c r="D43" s="25">
        <f>GETPIVOTDATA("Amount",$B$34,"Customer","Customer Name 86")/GETPIVOTDATA("Amount",Tables2!$A$3)</f>
        <v>1.1881873442070322E-2</v>
      </c>
    </row>
    <row r="44" spans="2:25" ht="19.8" x14ac:dyDescent="0.4">
      <c r="B44" s="20" t="s">
        <v>124</v>
      </c>
      <c r="C44" s="21">
        <v>6195274.323392</v>
      </c>
      <c r="D44" s="25">
        <f>GETPIVOTDATA("Amount",$B$34,"Customer","Customer Name 97")/GETPIVOTDATA("Amount",Tables2!$A$3)</f>
        <v>1.2991149603855112E-2</v>
      </c>
    </row>
    <row r="45" spans="2:25" ht="19.8" x14ac:dyDescent="0.4">
      <c r="B45" s="20" t="s">
        <v>242</v>
      </c>
      <c r="C45" s="21">
        <v>62417289.838016003</v>
      </c>
      <c r="D45" s="26">
        <f>SUM(D35:D44)</f>
        <v>0.13088562472386003</v>
      </c>
    </row>
    <row r="55" spans="1:29" x14ac:dyDescent="0.3">
      <c r="A55" s="30" t="s">
        <v>269</v>
      </c>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row>
  </sheetData>
  <mergeCells count="2">
    <mergeCell ref="A1:AC1"/>
    <mergeCell ref="A55:AC55"/>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Tables</vt:lpstr>
      <vt:lpstr>Dashboard</vt:lpstr>
      <vt:lpstr>Tables2</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 SHAH</dc:creator>
  <cp:lastModifiedBy>SAUMYA SHAH</cp:lastModifiedBy>
  <dcterms:created xsi:type="dcterms:W3CDTF">2015-06-05T18:17:20Z</dcterms:created>
  <dcterms:modified xsi:type="dcterms:W3CDTF">2026-07-31T18:31:34Z</dcterms:modified>
</cp:coreProperties>
</file>