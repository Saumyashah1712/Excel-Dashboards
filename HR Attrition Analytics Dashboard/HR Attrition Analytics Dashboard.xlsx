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ata Analyst\Projects\Excel - Dashboard\"/>
    </mc:Choice>
  </mc:AlternateContent>
  <xr:revisionPtr revIDLastSave="0" documentId="13_ncr:1_{03BF0166-17F0-49FD-989F-DE7426EB6F8D}"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Tables" sheetId="3" r:id="rId2"/>
    <sheet name="Dashboard" sheetId="2" r:id="rId3"/>
  </sheets>
  <definedNames>
    <definedName name="_xlnm._FilterDatabase" localSheetId="0" hidden="1">Data!$A$1:$K$101</definedName>
    <definedName name="NativeTimeline_Join_Date">#N/A</definedName>
    <definedName name="Slicer_Age_Group">#N/A</definedName>
    <definedName name="Slicer_Department">#N/A</definedName>
    <definedName name="Slicer_Exit_Reason">#N/A</definedName>
    <definedName name="Slicer_Gender">#N/A</definedName>
    <definedName name="Slicer_Join_Year">#N/A</definedName>
    <definedName name="Slicer_Status">#N/A</definedName>
    <definedName name="Slicer_Tenure_Group">#N/A</definedName>
  </definedNames>
  <calcPr calcId="191029"/>
  <pivotCaches>
    <pivotCache cacheId="9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I3" i="1"/>
  <c r="N3" i="1" s="1"/>
  <c r="I4" i="1"/>
  <c r="N4" i="1" s="1"/>
  <c r="I5" i="1"/>
  <c r="N5" i="1" s="1"/>
  <c r="I6" i="1"/>
  <c r="N6" i="1" s="1"/>
  <c r="I7" i="1"/>
  <c r="N7" i="1" s="1"/>
  <c r="I8" i="1"/>
  <c r="N8" i="1" s="1"/>
  <c r="I9" i="1"/>
  <c r="N9" i="1" s="1"/>
  <c r="I10" i="1"/>
  <c r="N10" i="1" s="1"/>
  <c r="I11" i="1"/>
  <c r="N11" i="1" s="1"/>
  <c r="I12" i="1"/>
  <c r="N12" i="1" s="1"/>
  <c r="I13" i="1"/>
  <c r="N13" i="1" s="1"/>
  <c r="I14" i="1"/>
  <c r="N14" i="1" s="1"/>
  <c r="I15" i="1"/>
  <c r="N15" i="1" s="1"/>
  <c r="I16" i="1"/>
  <c r="N16" i="1" s="1"/>
  <c r="I17" i="1"/>
  <c r="N17" i="1" s="1"/>
  <c r="I18" i="1"/>
  <c r="N18" i="1" s="1"/>
  <c r="I19" i="1"/>
  <c r="N19" i="1" s="1"/>
  <c r="I20" i="1"/>
  <c r="N20" i="1" s="1"/>
  <c r="I21" i="1"/>
  <c r="N21" i="1" s="1"/>
  <c r="I22" i="1"/>
  <c r="N22" i="1" s="1"/>
  <c r="I23" i="1"/>
  <c r="N23" i="1" s="1"/>
  <c r="I24" i="1"/>
  <c r="N24" i="1" s="1"/>
  <c r="I25" i="1"/>
  <c r="N25" i="1" s="1"/>
  <c r="I26" i="1"/>
  <c r="N26" i="1" s="1"/>
  <c r="I27" i="1"/>
  <c r="N27" i="1" s="1"/>
  <c r="I28" i="1"/>
  <c r="N28" i="1" s="1"/>
  <c r="I29" i="1"/>
  <c r="N29" i="1" s="1"/>
  <c r="I30" i="1"/>
  <c r="N30" i="1" s="1"/>
  <c r="I31" i="1"/>
  <c r="N31" i="1" s="1"/>
  <c r="I32" i="1"/>
  <c r="N32" i="1" s="1"/>
  <c r="I33" i="1"/>
  <c r="N33" i="1" s="1"/>
  <c r="I34" i="1"/>
  <c r="N34" i="1" s="1"/>
  <c r="I35" i="1"/>
  <c r="N35" i="1" s="1"/>
  <c r="I36" i="1"/>
  <c r="N36" i="1" s="1"/>
  <c r="I37" i="1"/>
  <c r="N37" i="1" s="1"/>
  <c r="I38" i="1"/>
  <c r="N38" i="1" s="1"/>
  <c r="I39" i="1"/>
  <c r="N39" i="1" s="1"/>
  <c r="I40" i="1"/>
  <c r="N40" i="1" s="1"/>
  <c r="I41" i="1"/>
  <c r="N41" i="1" s="1"/>
  <c r="I42" i="1"/>
  <c r="N42" i="1" s="1"/>
  <c r="I43" i="1"/>
  <c r="N43" i="1" s="1"/>
  <c r="I44" i="1"/>
  <c r="N44" i="1" s="1"/>
  <c r="I45" i="1"/>
  <c r="N45" i="1" s="1"/>
  <c r="I46" i="1"/>
  <c r="N46" i="1" s="1"/>
  <c r="I47" i="1"/>
  <c r="N47" i="1" s="1"/>
  <c r="I48" i="1"/>
  <c r="N48" i="1" s="1"/>
  <c r="I49" i="1"/>
  <c r="N49" i="1" s="1"/>
  <c r="I50" i="1"/>
  <c r="N50" i="1" s="1"/>
  <c r="I51" i="1"/>
  <c r="N51" i="1" s="1"/>
  <c r="I52" i="1"/>
  <c r="N52" i="1" s="1"/>
  <c r="I53" i="1"/>
  <c r="N53" i="1" s="1"/>
  <c r="I54" i="1"/>
  <c r="N54" i="1" s="1"/>
  <c r="I55" i="1"/>
  <c r="N55" i="1" s="1"/>
  <c r="I56" i="1"/>
  <c r="N56" i="1" s="1"/>
  <c r="I57" i="1"/>
  <c r="N57" i="1" s="1"/>
  <c r="I58" i="1"/>
  <c r="N58" i="1" s="1"/>
  <c r="I59" i="1"/>
  <c r="N59" i="1" s="1"/>
  <c r="I60" i="1"/>
  <c r="N60" i="1" s="1"/>
  <c r="I61" i="1"/>
  <c r="N61" i="1" s="1"/>
  <c r="I62" i="1"/>
  <c r="N62" i="1" s="1"/>
  <c r="I63" i="1"/>
  <c r="N63" i="1" s="1"/>
  <c r="I64" i="1"/>
  <c r="N64" i="1" s="1"/>
  <c r="I65" i="1"/>
  <c r="N65" i="1" s="1"/>
  <c r="I66" i="1"/>
  <c r="N66" i="1" s="1"/>
  <c r="I67" i="1"/>
  <c r="N67" i="1" s="1"/>
  <c r="I68" i="1"/>
  <c r="N68" i="1" s="1"/>
  <c r="I69" i="1"/>
  <c r="N69" i="1" s="1"/>
  <c r="I70" i="1"/>
  <c r="N70" i="1" s="1"/>
  <c r="I71" i="1"/>
  <c r="N71" i="1" s="1"/>
  <c r="I72" i="1"/>
  <c r="N72" i="1" s="1"/>
  <c r="I73" i="1"/>
  <c r="N73" i="1" s="1"/>
  <c r="I74" i="1"/>
  <c r="N74" i="1" s="1"/>
  <c r="I75" i="1"/>
  <c r="N75" i="1" s="1"/>
  <c r="I76" i="1"/>
  <c r="N76" i="1" s="1"/>
  <c r="I77" i="1"/>
  <c r="N77" i="1" s="1"/>
  <c r="I78" i="1"/>
  <c r="N78" i="1" s="1"/>
  <c r="I79" i="1"/>
  <c r="N79" i="1" s="1"/>
  <c r="I80" i="1"/>
  <c r="N80" i="1" s="1"/>
  <c r="I81" i="1"/>
  <c r="N81" i="1" s="1"/>
  <c r="I82" i="1"/>
  <c r="N82" i="1" s="1"/>
  <c r="I83" i="1"/>
  <c r="N83" i="1" s="1"/>
  <c r="I84" i="1"/>
  <c r="N84" i="1" s="1"/>
  <c r="I85" i="1"/>
  <c r="N85" i="1" s="1"/>
  <c r="I86" i="1"/>
  <c r="N86" i="1" s="1"/>
  <c r="I87" i="1"/>
  <c r="N87" i="1" s="1"/>
  <c r="I88" i="1"/>
  <c r="N88" i="1" s="1"/>
  <c r="I89" i="1"/>
  <c r="N89" i="1" s="1"/>
  <c r="I90" i="1"/>
  <c r="N90" i="1" s="1"/>
  <c r="I91" i="1"/>
  <c r="N91" i="1" s="1"/>
  <c r="I92" i="1"/>
  <c r="N92" i="1" s="1"/>
  <c r="I93" i="1"/>
  <c r="N93" i="1" s="1"/>
  <c r="I94" i="1"/>
  <c r="N94" i="1" s="1"/>
  <c r="I95" i="1"/>
  <c r="N95" i="1" s="1"/>
  <c r="I96" i="1"/>
  <c r="N96" i="1" s="1"/>
  <c r="I97" i="1"/>
  <c r="N97" i="1" s="1"/>
  <c r="I98" i="1"/>
  <c r="N98" i="1" s="1"/>
  <c r="I99" i="1"/>
  <c r="N99" i="1" s="1"/>
  <c r="I100" i="1"/>
  <c r="N100" i="1" s="1"/>
  <c r="I101" i="1"/>
  <c r="N101" i="1" s="1"/>
  <c r="I2" i="1"/>
  <c r="N2" i="1" s="1"/>
  <c r="A9" i="3"/>
</calcChain>
</file>

<file path=xl/sharedStrings.xml><?xml version="1.0" encoding="utf-8"?>
<sst xmlns="http://schemas.openxmlformats.org/spreadsheetml/2006/main" count="507" uniqueCount="59">
  <si>
    <t>Employee ID</t>
  </si>
  <si>
    <t>Department</t>
  </si>
  <si>
    <t>Join Date</t>
  </si>
  <si>
    <t>Exit Date</t>
  </si>
  <si>
    <t>Exit Reason</t>
  </si>
  <si>
    <t>Status</t>
  </si>
  <si>
    <t>Gender</t>
  </si>
  <si>
    <t>Age</t>
  </si>
  <si>
    <t>IT</t>
  </si>
  <si>
    <t>Active</t>
  </si>
  <si>
    <t>Female</t>
  </si>
  <si>
    <t>Customer Support</t>
  </si>
  <si>
    <t>Male</t>
  </si>
  <si>
    <t>Better Opportunity</t>
  </si>
  <si>
    <t>Exited</t>
  </si>
  <si>
    <t>Marketing</t>
  </si>
  <si>
    <t>Retirement</t>
  </si>
  <si>
    <t>Finance</t>
  </si>
  <si>
    <t>Other</t>
  </si>
  <si>
    <t>Sales</t>
  </si>
  <si>
    <t>HR</t>
  </si>
  <si>
    <t>Termination</t>
  </si>
  <si>
    <t>Health Issues</t>
  </si>
  <si>
    <t>Relocation</t>
  </si>
  <si>
    <t>Personal Reasons</t>
  </si>
  <si>
    <t>Tenure</t>
  </si>
  <si>
    <t>Join Year</t>
  </si>
  <si>
    <t>Join Month</t>
  </si>
  <si>
    <t>Exit Year</t>
  </si>
  <si>
    <t>Age Group</t>
  </si>
  <si>
    <t>Tenure Group</t>
  </si>
  <si>
    <t>Attrition</t>
  </si>
  <si>
    <t>Total Employees</t>
  </si>
  <si>
    <t>Row Labels</t>
  </si>
  <si>
    <t>Grand Total</t>
  </si>
  <si>
    <t>Count of Employee ID</t>
  </si>
  <si>
    <t>(All)</t>
  </si>
  <si>
    <t>Average of Tenure</t>
  </si>
  <si>
    <t>Attrition Rate</t>
  </si>
  <si>
    <t>Average of Age</t>
  </si>
  <si>
    <t>Still Employed</t>
  </si>
  <si>
    <t>Column Labels</t>
  </si>
  <si>
    <t>20-29 Years</t>
  </si>
  <si>
    <t>30-39 Years</t>
  </si>
  <si>
    <t>40-49 Years</t>
  </si>
  <si>
    <t>50+ Years</t>
  </si>
  <si>
    <t>1-3 Years</t>
  </si>
  <si>
    <t>3-5 Years</t>
  </si>
  <si>
    <t>Less than 1 Year</t>
  </si>
  <si>
    <t>More than 5 Years</t>
  </si>
  <si>
    <t>2018</t>
  </si>
  <si>
    <t>2019</t>
  </si>
  <si>
    <t>2020</t>
  </si>
  <si>
    <t>2021</t>
  </si>
  <si>
    <t>2022</t>
  </si>
  <si>
    <t>2023</t>
  </si>
  <si>
    <t>2024</t>
  </si>
  <si>
    <t>Created by Saumya Shah | HR Attrition Analytics Dashboard | 2026</t>
  </si>
  <si>
    <r>
      <rPr>
        <sz val="30"/>
        <color theme="0"/>
        <rFont val="Calibri"/>
        <family val="2"/>
        <scheme val="minor"/>
      </rPr>
      <t>👨‍💼</t>
    </r>
    <r>
      <rPr>
        <b/>
        <sz val="30"/>
        <color theme="0"/>
        <rFont val="Calibri"/>
        <family val="2"/>
        <scheme val="minor"/>
      </rPr>
      <t>HR ATTRITION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</si>
</sst>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dd\-mmm\-yyyy"/>
    <numFmt numFmtId="172"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30"/>
      <color theme="0"/>
      <name val="Calibri"/>
      <family val="2"/>
      <scheme val="minor"/>
    </font>
    <font>
      <b/>
      <sz val="30"/>
      <color theme="0"/>
      <name val="Calibri"/>
      <family val="2"/>
      <scheme val="minor"/>
    </font>
    <font>
      <sz val="15"/>
      <color theme="1"/>
      <name val="Calibri"/>
      <family val="2"/>
      <scheme val="minor"/>
    </font>
    <font>
      <b/>
      <sz val="15"/>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8"/>
        <bgColor indexed="64"/>
      </patternFill>
    </fill>
    <fill>
      <patternFill patternType="solid">
        <fgColor theme="0" tint="-4.9989318521683403E-2"/>
        <bgColor indexed="64"/>
      </patternFill>
    </fill>
    <fill>
      <patternFill patternType="solid">
        <fgColor theme="8" tint="-0.249977111117893"/>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Alignment="1">
      <alignment horizontal="center" vertical="center"/>
    </xf>
    <xf numFmtId="170" fontId="0" fillId="0" borderId="0" xfId="0" applyNumberFormat="1" applyAlignment="1">
      <alignment horizontal="center" vertical="center"/>
    </xf>
    <xf numFmtId="170"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0" fontId="5" fillId="0" borderId="0" xfId="0" applyNumberFormat="1" applyFont="1"/>
    <xf numFmtId="0" fontId="5" fillId="0" borderId="0" xfId="0" applyFont="1" applyAlignment="1">
      <alignment horizontal="center" vertical="center"/>
    </xf>
    <xf numFmtId="0" fontId="5" fillId="0" borderId="0" xfId="0" applyNumberFormat="1" applyFont="1" applyAlignment="1">
      <alignment horizontal="center" vertical="center"/>
    </xf>
    <xf numFmtId="0" fontId="6" fillId="2" borderId="1" xfId="0" applyFont="1" applyFill="1" applyBorder="1" applyAlignment="1">
      <alignment horizontal="center" vertical="center"/>
    </xf>
    <xf numFmtId="9" fontId="5" fillId="0" borderId="0" xfId="1" applyFont="1" applyAlignment="1">
      <alignment horizontal="center" vertical="center"/>
    </xf>
    <xf numFmtId="172" fontId="5" fillId="0" borderId="0" xfId="0" applyNumberFormat="1" applyFont="1" applyAlignment="1">
      <alignment horizontal="center" vertical="center"/>
    </xf>
    <xf numFmtId="0" fontId="5" fillId="0" borderId="0" xfId="0" pivotButton="1" applyFont="1" applyAlignment="1">
      <alignment horizontal="center" vertical="center"/>
    </xf>
    <xf numFmtId="0" fontId="0" fillId="3" borderId="0" xfId="0" applyFill="1" applyAlignment="1">
      <alignment horizontal="center" vertical="center"/>
    </xf>
    <xf numFmtId="170" fontId="0" fillId="3" borderId="0" xfId="0" applyNumberFormat="1" applyFill="1" applyAlignment="1">
      <alignment horizontal="center" vertical="center"/>
    </xf>
    <xf numFmtId="0" fontId="0" fillId="4" borderId="0" xfId="0" applyFill="1"/>
    <xf numFmtId="0" fontId="2" fillId="4" borderId="0" xfId="0" applyFont="1" applyFill="1" applyAlignment="1">
      <alignment horizontal="center" wrapText="1"/>
    </xf>
    <xf numFmtId="0" fontId="2" fillId="4" borderId="0" xfId="0" applyFont="1" applyFill="1" applyAlignment="1">
      <alignment horizontal="center"/>
    </xf>
    <xf numFmtId="0" fontId="4" fillId="5" borderId="0" xfId="0" applyFont="1" applyFill="1" applyAlignment="1">
      <alignment horizontal="center"/>
    </xf>
  </cellXfs>
  <cellStyles count="2">
    <cellStyle name="Normal" xfId="0" builtinId="0"/>
    <cellStyle name="Percent" xfId="1" builtinId="5"/>
  </cellStyles>
  <dxfs count="3860">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ill>
        <patternFill patternType="solid">
          <fgColor indexed="64"/>
          <bgColor theme="8"/>
        </patternFill>
      </fill>
      <alignment horizontal="center" vertical="center" textRotation="0" wrapText="0" indent="0" justifyLastLine="0" shrinkToFit="0" readingOrder="0"/>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font>
        <sz val="15"/>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0"/>
      </font>
    </dxf>
    <dxf>
      <font>
        <sz val="20"/>
      </font>
    </dxf>
    <dxf>
      <font>
        <sz val="20"/>
      </font>
    </dxf>
    <dxf>
      <alignment horizontal="center"/>
    </dxf>
    <dxf>
      <alignment horizontal="center"/>
    </dxf>
    <dxf>
      <alignment horizontal="center"/>
    </dxf>
    <dxf>
      <alignment vertical="center"/>
    </dxf>
    <dxf>
      <alignment vertical="center"/>
    </dxf>
    <dxf>
      <alignment vertical="center"/>
    </dxf>
    <dxf>
      <font>
        <sz val="15"/>
      </font>
    </dxf>
    <dxf>
      <font>
        <sz val="15"/>
      </font>
    </dxf>
    <dxf>
      <font>
        <sz val="15"/>
      </font>
    </dxf>
    <dxf>
      <font>
        <sz val="15"/>
      </font>
    </dxf>
    <dxf>
      <font>
        <sz val="15"/>
      </font>
    </dxf>
    <dxf>
      <font>
        <sz val="15"/>
      </font>
    </dxf>
    <dxf>
      <alignment horizontal="center"/>
    </dxf>
    <dxf>
      <alignment horizontal="center"/>
    </dxf>
    <dxf>
      <alignment horizontal="center"/>
    </dxf>
    <dxf>
      <alignment vertical="center"/>
    </dxf>
    <dxf>
      <alignment vertical="center"/>
    </dxf>
    <dxf>
      <alignment vertical="center"/>
    </dxf>
    <dxf>
      <numFmt numFmtId="2" formatCode="0.00"/>
    </dxf>
    <dxf>
      <numFmt numFmtId="172" formatCode="0.0"/>
    </dxf>
    <dxf>
      <numFmt numFmtId="170" formatCode="dd\-mmm\-yyyy"/>
      <alignment horizontal="center" vertical="center" textRotation="0" wrapText="0" indent="0" justifyLastLine="0" shrinkToFit="0" readingOrder="0"/>
    </dxf>
    <dxf>
      <numFmt numFmtId="170" formatCode="dd\-m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Tables!$C$3:$C$9</c:f>
              <c:strCache>
                <c:ptCount val="6"/>
                <c:pt idx="0">
                  <c:v>Sales</c:v>
                </c:pt>
                <c:pt idx="1">
                  <c:v>Marketing</c:v>
                </c:pt>
                <c:pt idx="2">
                  <c:v>IT</c:v>
                </c:pt>
                <c:pt idx="3">
                  <c:v>HR</c:v>
                </c:pt>
                <c:pt idx="4">
                  <c:v>Finance</c:v>
                </c:pt>
                <c:pt idx="5">
                  <c:v>Customer Support</c:v>
                </c:pt>
              </c:strCache>
            </c:strRef>
          </c:cat>
          <c:val>
            <c:numRef>
              <c:f>Tables!$D$3:$D$9</c:f>
              <c:numCache>
                <c:formatCode>General</c:formatCode>
                <c:ptCount val="6"/>
                <c:pt idx="0">
                  <c:v>12</c:v>
                </c:pt>
                <c:pt idx="1">
                  <c:v>18</c:v>
                </c:pt>
                <c:pt idx="2">
                  <c:v>22</c:v>
                </c:pt>
                <c:pt idx="3">
                  <c:v>14</c:v>
                </c:pt>
                <c:pt idx="4">
                  <c:v>10</c:v>
                </c:pt>
                <c:pt idx="5">
                  <c:v>24</c:v>
                </c:pt>
              </c:numCache>
            </c:numRef>
          </c:val>
          <c:extLst>
            <c:ext xmlns:c16="http://schemas.microsoft.com/office/drawing/2014/chart" uri="{C3380CC4-5D6E-409C-BE32-E72D297353CC}">
              <c16:uniqueId val="{00000000-7876-461E-B704-E10B955F412E}"/>
            </c:ext>
          </c:extLst>
        </c:ser>
        <c:dLbls>
          <c:dLblPos val="outEnd"/>
          <c:showLegendKey val="0"/>
          <c:showVal val="1"/>
          <c:showCatName val="0"/>
          <c:showSerName val="0"/>
          <c:showPercent val="0"/>
          <c:showBubbleSize val="0"/>
        </c:dLbls>
        <c:gapWidth val="115"/>
        <c:overlap val="-20"/>
        <c:axId val="1276108495"/>
        <c:axId val="1372023503"/>
      </c:barChart>
      <c:catAx>
        <c:axId val="12761084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023503"/>
        <c:crosses val="autoZero"/>
        <c:auto val="1"/>
        <c:lblAlgn val="ctr"/>
        <c:lblOffset val="100"/>
        <c:noMultiLvlLbl val="0"/>
      </c:catAx>
      <c:valAx>
        <c:axId val="13720235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10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aseline="0"/>
                  <a:t> </a:t>
                </a:r>
                <a:fld id="{992A2EBC-C3AB-4C99-9241-67D14A359CD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33FC595-2E37-4F13-950D-D32B461013CF}"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Tables!$G$2</c:f>
              <c:strCache>
                <c:ptCount val="1"/>
                <c:pt idx="0">
                  <c:v>Total</c:v>
                </c:pt>
              </c:strCache>
            </c:strRef>
          </c:tx>
          <c:spPr>
            <a:solidFill>
              <a:schemeClr val="accent6">
                <a:lumMod val="75000"/>
              </a:schemeClr>
            </a:solidFill>
          </c:spPr>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12-4F87-AD18-B54A3CCE81B6}"/>
              </c:ext>
            </c:extLst>
          </c:dPt>
          <c:dPt>
            <c:idx val="1"/>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12-4F87-AD18-B54A3CCE81B6}"/>
              </c:ext>
            </c:extLst>
          </c:dPt>
          <c:dLbls>
            <c:dLbl>
              <c:idx val="0"/>
              <c:tx>
                <c:rich>
                  <a:bodyPr/>
                  <a:lstStyle/>
                  <a:p>
                    <a:r>
                      <a:rPr lang="en-US" baseline="0"/>
                      <a:t> </a:t>
                    </a:r>
                    <a:fld id="{992A2EBC-C3AB-4C99-9241-67D14A359CD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112-4F87-AD18-B54A3CCE81B6}"/>
                </c:ext>
              </c:extLst>
            </c:dLbl>
            <c:dLbl>
              <c:idx val="1"/>
              <c:tx>
                <c:rich>
                  <a:bodyPr/>
                  <a:lstStyle/>
                  <a:p>
                    <a:fld id="{333FC595-2E37-4F13-950D-D32B461013CF}"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112-4F87-AD18-B54A3CCE8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Tables!$F$3:$F$5</c:f>
              <c:strCache>
                <c:ptCount val="2"/>
                <c:pt idx="0">
                  <c:v>Active</c:v>
                </c:pt>
                <c:pt idx="1">
                  <c:v>Exited</c:v>
                </c:pt>
              </c:strCache>
            </c:strRef>
          </c:cat>
          <c:val>
            <c:numRef>
              <c:f>Tables!$G$3:$G$5</c:f>
              <c:numCache>
                <c:formatCode>General</c:formatCode>
                <c:ptCount val="2"/>
                <c:pt idx="0">
                  <c:v>62</c:v>
                </c:pt>
                <c:pt idx="1">
                  <c:v>38</c:v>
                </c:pt>
              </c:numCache>
            </c:numRef>
          </c:val>
          <c:extLst>
            <c:ext xmlns:c16="http://schemas.microsoft.com/office/drawing/2014/chart" uri="{C3380CC4-5D6E-409C-BE32-E72D297353CC}">
              <c16:uniqueId val="{00000004-2112-4F87-AD18-B54A3CCE81B6}"/>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Tables!$I$3:$I$10</c:f>
              <c:strCache>
                <c:ptCount val="7"/>
                <c:pt idx="0">
                  <c:v>Termination</c:v>
                </c:pt>
                <c:pt idx="1">
                  <c:v>Still Employed</c:v>
                </c:pt>
                <c:pt idx="2">
                  <c:v>Retirement</c:v>
                </c:pt>
                <c:pt idx="3">
                  <c:v>Relocation</c:v>
                </c:pt>
                <c:pt idx="4">
                  <c:v>Personal Reasons</c:v>
                </c:pt>
                <c:pt idx="5">
                  <c:v>Health Issues</c:v>
                </c:pt>
                <c:pt idx="6">
                  <c:v>Better Opportunity</c:v>
                </c:pt>
              </c:strCache>
            </c:strRef>
          </c:cat>
          <c:val>
            <c:numRef>
              <c:f>Tables!$J$3:$J$10</c:f>
              <c:numCache>
                <c:formatCode>General</c:formatCode>
                <c:ptCount val="7"/>
                <c:pt idx="0">
                  <c:v>8</c:v>
                </c:pt>
                <c:pt idx="1">
                  <c:v>62</c:v>
                </c:pt>
                <c:pt idx="2">
                  <c:v>8</c:v>
                </c:pt>
                <c:pt idx="3">
                  <c:v>6</c:v>
                </c:pt>
                <c:pt idx="4">
                  <c:v>2</c:v>
                </c:pt>
                <c:pt idx="5">
                  <c:v>8</c:v>
                </c:pt>
                <c:pt idx="6">
                  <c:v>6</c:v>
                </c:pt>
              </c:numCache>
            </c:numRef>
          </c:val>
          <c:extLst>
            <c:ext xmlns:c16="http://schemas.microsoft.com/office/drawing/2014/chart" uri="{C3380CC4-5D6E-409C-BE32-E72D297353CC}">
              <c16:uniqueId val="{00000000-C597-4961-9A72-E1A1E09621EA}"/>
            </c:ext>
          </c:extLst>
        </c:ser>
        <c:dLbls>
          <c:dLblPos val="outEnd"/>
          <c:showLegendKey val="0"/>
          <c:showVal val="1"/>
          <c:showCatName val="0"/>
          <c:showSerName val="0"/>
          <c:showPercent val="0"/>
          <c:showBubbleSize val="0"/>
        </c:dLbls>
        <c:gapWidth val="115"/>
        <c:overlap val="-20"/>
        <c:axId val="1739615375"/>
        <c:axId val="1181519663"/>
      </c:barChart>
      <c:catAx>
        <c:axId val="1739615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519663"/>
        <c:crosses val="autoZero"/>
        <c:auto val="1"/>
        <c:lblAlgn val="ctr"/>
        <c:lblOffset val="100"/>
        <c:noMultiLvlLbl val="0"/>
      </c:catAx>
      <c:valAx>
        <c:axId val="11815196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6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Tables!$E$12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Tables!$D$13:$D$20</c:f>
              <c:strCache>
                <c:ptCount val="7"/>
                <c:pt idx="0">
                  <c:v>2018</c:v>
                </c:pt>
                <c:pt idx="1">
                  <c:v>2019</c:v>
                </c:pt>
                <c:pt idx="2">
                  <c:v>2020</c:v>
                </c:pt>
                <c:pt idx="3">
                  <c:v>2021</c:v>
                </c:pt>
                <c:pt idx="4">
                  <c:v>2022</c:v>
                </c:pt>
                <c:pt idx="5">
                  <c:v>2023</c:v>
                </c:pt>
                <c:pt idx="6">
                  <c:v>2024</c:v>
                </c:pt>
              </c:strCache>
            </c:strRef>
          </c:cat>
          <c:val>
            <c:numRef>
              <c:f>Tables!$E$13:$E$20</c:f>
              <c:numCache>
                <c:formatCode>General</c:formatCode>
                <c:ptCount val="7"/>
                <c:pt idx="0">
                  <c:v>16</c:v>
                </c:pt>
                <c:pt idx="1">
                  <c:v>16</c:v>
                </c:pt>
                <c:pt idx="2">
                  <c:v>10</c:v>
                </c:pt>
                <c:pt idx="3">
                  <c:v>18</c:v>
                </c:pt>
                <c:pt idx="4">
                  <c:v>8</c:v>
                </c:pt>
                <c:pt idx="5">
                  <c:v>12</c:v>
                </c:pt>
                <c:pt idx="6">
                  <c:v>20</c:v>
                </c:pt>
              </c:numCache>
            </c:numRef>
          </c:val>
          <c:smooth val="0"/>
          <c:extLst>
            <c:ext xmlns:c16="http://schemas.microsoft.com/office/drawing/2014/chart" uri="{C3380CC4-5D6E-409C-BE32-E72D297353CC}">
              <c16:uniqueId val="{00000000-C408-4EF4-9259-DD3744AAEE5C}"/>
            </c:ext>
          </c:extLst>
        </c:ser>
        <c:dLbls>
          <c:dLblPos val="t"/>
          <c:showLegendKey val="0"/>
          <c:showVal val="1"/>
          <c:showCatName val="0"/>
          <c:showSerName val="0"/>
          <c:showPercent val="0"/>
          <c:showBubbleSize val="0"/>
        </c:dLbls>
        <c:marker val="1"/>
        <c:smooth val="0"/>
        <c:axId val="1361045391"/>
        <c:axId val="1372076303"/>
      </c:lineChart>
      <c:catAx>
        <c:axId val="1361045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2076303"/>
        <c:crosses val="autoZero"/>
        <c:auto val="1"/>
        <c:lblAlgn val="ctr"/>
        <c:lblOffset val="100"/>
        <c:noMultiLvlLbl val="0"/>
      </c:catAx>
      <c:valAx>
        <c:axId val="1372076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104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Tables!$H$12:$H$13</c:f>
              <c:strCache>
                <c:ptCount val="1"/>
                <c:pt idx="0">
                  <c:v>Active</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Tables!$G$14:$G$20</c:f>
              <c:strCache>
                <c:ptCount val="6"/>
                <c:pt idx="0">
                  <c:v>Customer Support</c:v>
                </c:pt>
                <c:pt idx="1">
                  <c:v>Finance</c:v>
                </c:pt>
                <c:pt idx="2">
                  <c:v>HR</c:v>
                </c:pt>
                <c:pt idx="3">
                  <c:v>IT</c:v>
                </c:pt>
                <c:pt idx="4">
                  <c:v>Marketing</c:v>
                </c:pt>
                <c:pt idx="5">
                  <c:v>Sales</c:v>
                </c:pt>
              </c:strCache>
            </c:strRef>
          </c:cat>
          <c:val>
            <c:numRef>
              <c:f>Tables!$H$14:$H$20</c:f>
              <c:numCache>
                <c:formatCode>General</c:formatCode>
                <c:ptCount val="6"/>
                <c:pt idx="0">
                  <c:v>18</c:v>
                </c:pt>
                <c:pt idx="1">
                  <c:v>4</c:v>
                </c:pt>
                <c:pt idx="2">
                  <c:v>12</c:v>
                </c:pt>
                <c:pt idx="3">
                  <c:v>12</c:v>
                </c:pt>
                <c:pt idx="4">
                  <c:v>8</c:v>
                </c:pt>
                <c:pt idx="5">
                  <c:v>8</c:v>
                </c:pt>
              </c:numCache>
            </c:numRef>
          </c:val>
          <c:extLst>
            <c:ext xmlns:c16="http://schemas.microsoft.com/office/drawing/2014/chart" uri="{C3380CC4-5D6E-409C-BE32-E72D297353CC}">
              <c16:uniqueId val="{00000000-29F3-4E29-B78F-E2C88C1348B8}"/>
            </c:ext>
          </c:extLst>
        </c:ser>
        <c:ser>
          <c:idx val="1"/>
          <c:order val="1"/>
          <c:tx>
            <c:strRef>
              <c:f>Tables!$I$12:$I$13</c:f>
              <c:strCache>
                <c:ptCount val="1"/>
                <c:pt idx="0">
                  <c:v>Exited</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Tables!$G$14:$G$20</c:f>
              <c:strCache>
                <c:ptCount val="6"/>
                <c:pt idx="0">
                  <c:v>Customer Support</c:v>
                </c:pt>
                <c:pt idx="1">
                  <c:v>Finance</c:v>
                </c:pt>
                <c:pt idx="2">
                  <c:v>HR</c:v>
                </c:pt>
                <c:pt idx="3">
                  <c:v>IT</c:v>
                </c:pt>
                <c:pt idx="4">
                  <c:v>Marketing</c:v>
                </c:pt>
                <c:pt idx="5">
                  <c:v>Sales</c:v>
                </c:pt>
              </c:strCache>
            </c:strRef>
          </c:cat>
          <c:val>
            <c:numRef>
              <c:f>Tables!$I$14:$I$20</c:f>
              <c:numCache>
                <c:formatCode>General</c:formatCode>
                <c:ptCount val="6"/>
                <c:pt idx="0">
                  <c:v>6</c:v>
                </c:pt>
                <c:pt idx="1">
                  <c:v>6</c:v>
                </c:pt>
                <c:pt idx="2">
                  <c:v>2</c:v>
                </c:pt>
                <c:pt idx="3">
                  <c:v>10</c:v>
                </c:pt>
                <c:pt idx="4">
                  <c:v>10</c:v>
                </c:pt>
                <c:pt idx="5">
                  <c:v>4</c:v>
                </c:pt>
              </c:numCache>
            </c:numRef>
          </c:val>
          <c:extLst>
            <c:ext xmlns:c16="http://schemas.microsoft.com/office/drawing/2014/chart" uri="{C3380CC4-5D6E-409C-BE32-E72D297353CC}">
              <c16:uniqueId val="{00000004-29F3-4E29-B78F-E2C88C1348B8}"/>
            </c:ext>
          </c:extLst>
        </c:ser>
        <c:dLbls>
          <c:dLblPos val="outEnd"/>
          <c:showLegendKey val="0"/>
          <c:showVal val="1"/>
          <c:showCatName val="0"/>
          <c:showSerName val="0"/>
          <c:showPercent val="0"/>
          <c:showBubbleSize val="0"/>
        </c:dLbls>
        <c:gapWidth val="100"/>
        <c:overlap val="-24"/>
        <c:axId val="1523452351"/>
        <c:axId val="1181523983"/>
      </c:barChart>
      <c:catAx>
        <c:axId val="1523452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523983"/>
        <c:crosses val="autoZero"/>
        <c:auto val="1"/>
        <c:lblAlgn val="ctr"/>
        <c:lblOffset val="100"/>
        <c:noMultiLvlLbl val="0"/>
      </c:catAx>
      <c:valAx>
        <c:axId val="1181523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45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
        <c:idx val="4"/>
        <c:spPr>
          <a:solidFill>
            <a:schemeClr val="accent5">
              <a:lumMod val="75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Tables!$E$23</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7C-4526-BA19-3944CEE4069D}"/>
              </c:ext>
            </c:extLst>
          </c:dPt>
          <c:dPt>
            <c:idx val="1"/>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7C-4526-BA19-3944CEE4069D}"/>
              </c:ext>
            </c:extLst>
          </c:dPt>
          <c:dPt>
            <c:idx val="2"/>
            <c:bubble3D val="0"/>
            <c:spPr>
              <a:solidFill>
                <a:schemeClr val="accent5">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7C-4526-BA19-3944CEE406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Tables!$D$24:$D$27</c:f>
              <c:strCache>
                <c:ptCount val="3"/>
                <c:pt idx="0">
                  <c:v>Female</c:v>
                </c:pt>
                <c:pt idx="1">
                  <c:v>Male</c:v>
                </c:pt>
                <c:pt idx="2">
                  <c:v>Other</c:v>
                </c:pt>
              </c:strCache>
            </c:strRef>
          </c:cat>
          <c:val>
            <c:numRef>
              <c:f>Tables!$E$24:$E$27</c:f>
              <c:numCache>
                <c:formatCode>General</c:formatCode>
                <c:ptCount val="3"/>
                <c:pt idx="0">
                  <c:v>28</c:v>
                </c:pt>
                <c:pt idx="1">
                  <c:v>28</c:v>
                </c:pt>
                <c:pt idx="2">
                  <c:v>44</c:v>
                </c:pt>
              </c:numCache>
            </c:numRef>
          </c:val>
          <c:extLst>
            <c:ext xmlns:c16="http://schemas.microsoft.com/office/drawing/2014/chart" uri="{C3380CC4-5D6E-409C-BE32-E72D297353CC}">
              <c16:uniqueId val="{00000006-177C-4526-BA19-3944CEE4069D}"/>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Tables!$G$24:$G$28</c:f>
              <c:strCache>
                <c:ptCount val="4"/>
                <c:pt idx="0">
                  <c:v>20-29 Years</c:v>
                </c:pt>
                <c:pt idx="1">
                  <c:v>30-39 Years</c:v>
                </c:pt>
                <c:pt idx="2">
                  <c:v>40-49 Years</c:v>
                </c:pt>
                <c:pt idx="3">
                  <c:v>50+ Years</c:v>
                </c:pt>
              </c:strCache>
            </c:strRef>
          </c:cat>
          <c:val>
            <c:numRef>
              <c:f>Tables!$H$24:$H$28</c:f>
              <c:numCache>
                <c:formatCode>General</c:formatCode>
                <c:ptCount val="4"/>
                <c:pt idx="0">
                  <c:v>24</c:v>
                </c:pt>
                <c:pt idx="1">
                  <c:v>28</c:v>
                </c:pt>
                <c:pt idx="2">
                  <c:v>28</c:v>
                </c:pt>
                <c:pt idx="3">
                  <c:v>20</c:v>
                </c:pt>
              </c:numCache>
            </c:numRef>
          </c:val>
          <c:extLst>
            <c:ext xmlns:c16="http://schemas.microsoft.com/office/drawing/2014/chart" uri="{C3380CC4-5D6E-409C-BE32-E72D297353CC}">
              <c16:uniqueId val="{00000000-5C92-4031-8064-463C6ABAE3A7}"/>
            </c:ext>
          </c:extLst>
        </c:ser>
        <c:dLbls>
          <c:dLblPos val="outEnd"/>
          <c:showLegendKey val="0"/>
          <c:showVal val="1"/>
          <c:showCatName val="0"/>
          <c:showSerName val="0"/>
          <c:showPercent val="0"/>
          <c:showBubbleSize val="0"/>
        </c:dLbls>
        <c:gapWidth val="100"/>
        <c:overlap val="-24"/>
        <c:axId val="1672659519"/>
        <c:axId val="1672072879"/>
      </c:barChart>
      <c:catAx>
        <c:axId val="1672659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72879"/>
        <c:crosses val="autoZero"/>
        <c:auto val="1"/>
        <c:lblAlgn val="ctr"/>
        <c:lblOffset val="100"/>
        <c:noMultiLvlLbl val="0"/>
      </c:catAx>
      <c:valAx>
        <c:axId val="1672072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65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Tables!$K$23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Tables!$J$24:$J$28</c:f>
              <c:strCache>
                <c:ptCount val="4"/>
                <c:pt idx="0">
                  <c:v>1-3 Years</c:v>
                </c:pt>
                <c:pt idx="1">
                  <c:v>3-5 Years</c:v>
                </c:pt>
                <c:pt idx="2">
                  <c:v>Less than 1 Year</c:v>
                </c:pt>
                <c:pt idx="3">
                  <c:v>More than 5 Years</c:v>
                </c:pt>
              </c:strCache>
            </c:strRef>
          </c:cat>
          <c:val>
            <c:numRef>
              <c:f>Tables!$K$24:$K$28</c:f>
              <c:numCache>
                <c:formatCode>General</c:formatCode>
                <c:ptCount val="4"/>
                <c:pt idx="0">
                  <c:v>44</c:v>
                </c:pt>
                <c:pt idx="1">
                  <c:v>26</c:v>
                </c:pt>
                <c:pt idx="2">
                  <c:v>4</c:v>
                </c:pt>
                <c:pt idx="3">
                  <c:v>26</c:v>
                </c:pt>
              </c:numCache>
            </c:numRef>
          </c:val>
          <c:extLst>
            <c:ext xmlns:c16="http://schemas.microsoft.com/office/drawing/2014/chart" uri="{C3380CC4-5D6E-409C-BE32-E72D297353CC}">
              <c16:uniqueId val="{00000000-305D-4F96-A2F4-7C39CAE94844}"/>
            </c:ext>
          </c:extLst>
        </c:ser>
        <c:dLbls>
          <c:dLblPos val="outEnd"/>
          <c:showLegendKey val="0"/>
          <c:showVal val="1"/>
          <c:showCatName val="0"/>
          <c:showSerName val="0"/>
          <c:showPercent val="0"/>
          <c:showBubbleSize val="0"/>
        </c:dLbls>
        <c:gapWidth val="115"/>
        <c:overlap val="-20"/>
        <c:axId val="1733860863"/>
        <c:axId val="1672036399"/>
      </c:barChart>
      <c:catAx>
        <c:axId val="1733860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36399"/>
        <c:crosses val="autoZero"/>
        <c:auto val="1"/>
        <c:lblAlgn val="ctr"/>
        <c:lblOffset val="100"/>
        <c:noMultiLvlLbl val="0"/>
      </c:catAx>
      <c:valAx>
        <c:axId val="16720363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8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Analysis Excel Dashboard.xlsx]Tables!PivotTable13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Tables!$E$30:$E$31</c:f>
              <c:strCache>
                <c:ptCount val="1"/>
                <c:pt idx="0">
                  <c:v>Active</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Tables!$D$32:$D$39</c:f>
              <c:strCache>
                <c:ptCount val="7"/>
                <c:pt idx="0">
                  <c:v>2018</c:v>
                </c:pt>
                <c:pt idx="1">
                  <c:v>2019</c:v>
                </c:pt>
                <c:pt idx="2">
                  <c:v>2020</c:v>
                </c:pt>
                <c:pt idx="3">
                  <c:v>2021</c:v>
                </c:pt>
                <c:pt idx="4">
                  <c:v>2022</c:v>
                </c:pt>
                <c:pt idx="5">
                  <c:v>2023</c:v>
                </c:pt>
                <c:pt idx="6">
                  <c:v>2024</c:v>
                </c:pt>
              </c:strCache>
            </c:strRef>
          </c:cat>
          <c:val>
            <c:numRef>
              <c:f>Tables!$E$32:$E$39</c:f>
              <c:numCache>
                <c:formatCode>General</c:formatCode>
                <c:ptCount val="7"/>
                <c:pt idx="0">
                  <c:v>8</c:v>
                </c:pt>
                <c:pt idx="1">
                  <c:v>4</c:v>
                </c:pt>
                <c:pt idx="2">
                  <c:v>8</c:v>
                </c:pt>
                <c:pt idx="3">
                  <c:v>6</c:v>
                </c:pt>
                <c:pt idx="4">
                  <c:v>6</c:v>
                </c:pt>
                <c:pt idx="5">
                  <c:v>10</c:v>
                </c:pt>
                <c:pt idx="6">
                  <c:v>20</c:v>
                </c:pt>
              </c:numCache>
            </c:numRef>
          </c:val>
          <c:extLst>
            <c:ext xmlns:c16="http://schemas.microsoft.com/office/drawing/2014/chart" uri="{C3380CC4-5D6E-409C-BE32-E72D297353CC}">
              <c16:uniqueId val="{00000000-3000-41A7-9150-A899B8FF88AD}"/>
            </c:ext>
          </c:extLst>
        </c:ser>
        <c:ser>
          <c:idx val="1"/>
          <c:order val="1"/>
          <c:tx>
            <c:strRef>
              <c:f>Tables!$F$30:$F$31</c:f>
              <c:strCache>
                <c:ptCount val="1"/>
                <c:pt idx="0">
                  <c:v>Exited</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Tables!$D$32:$D$39</c:f>
              <c:strCache>
                <c:ptCount val="7"/>
                <c:pt idx="0">
                  <c:v>2018</c:v>
                </c:pt>
                <c:pt idx="1">
                  <c:v>2019</c:v>
                </c:pt>
                <c:pt idx="2">
                  <c:v>2020</c:v>
                </c:pt>
                <c:pt idx="3">
                  <c:v>2021</c:v>
                </c:pt>
                <c:pt idx="4">
                  <c:v>2022</c:v>
                </c:pt>
                <c:pt idx="5">
                  <c:v>2023</c:v>
                </c:pt>
                <c:pt idx="6">
                  <c:v>2024</c:v>
                </c:pt>
              </c:strCache>
            </c:strRef>
          </c:cat>
          <c:val>
            <c:numRef>
              <c:f>Tables!$F$32:$F$39</c:f>
              <c:numCache>
                <c:formatCode>General</c:formatCode>
                <c:ptCount val="7"/>
                <c:pt idx="0">
                  <c:v>8</c:v>
                </c:pt>
                <c:pt idx="1">
                  <c:v>12</c:v>
                </c:pt>
                <c:pt idx="2">
                  <c:v>2</c:v>
                </c:pt>
                <c:pt idx="3">
                  <c:v>12</c:v>
                </c:pt>
                <c:pt idx="4">
                  <c:v>2</c:v>
                </c:pt>
                <c:pt idx="5">
                  <c:v>2</c:v>
                </c:pt>
              </c:numCache>
            </c:numRef>
          </c:val>
          <c:extLst>
            <c:ext xmlns:c16="http://schemas.microsoft.com/office/drawing/2014/chart" uri="{C3380CC4-5D6E-409C-BE32-E72D297353CC}">
              <c16:uniqueId val="{00000004-3000-41A7-9150-A899B8FF88AD}"/>
            </c:ext>
          </c:extLst>
        </c:ser>
        <c:dLbls>
          <c:dLblPos val="ctr"/>
          <c:showLegendKey val="0"/>
          <c:showVal val="1"/>
          <c:showCatName val="0"/>
          <c:showSerName val="0"/>
          <c:showPercent val="0"/>
          <c:showBubbleSize val="0"/>
        </c:dLbls>
        <c:gapWidth val="150"/>
        <c:overlap val="100"/>
        <c:axId val="1674182495"/>
        <c:axId val="1672046959"/>
      </c:barChart>
      <c:catAx>
        <c:axId val="1674182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46959"/>
        <c:crosses val="autoZero"/>
        <c:auto val="1"/>
        <c:lblAlgn val="ctr"/>
        <c:lblOffset val="100"/>
        <c:noMultiLvlLbl val="0"/>
      </c:catAx>
      <c:valAx>
        <c:axId val="167204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41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hyperlink" Target="#Tables!D30"/><Relationship Id="rId2" Type="http://schemas.openxmlformats.org/officeDocument/2006/relationships/hyperlink" Target="#Tables!C2"/><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hyperlink" Target="#Tables!F2"/><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hyperlink" Target="#Tables!I2"/></Relationships>
</file>

<file path=xl/drawings/_rels/drawing3.xml.rels><?xml version="1.0" encoding="UTF-8" standalone="yes"?>
<Relationships xmlns="http://schemas.openxmlformats.org/package/2006/relationships"><Relationship Id="rId1" Type="http://schemas.openxmlformats.org/officeDocument/2006/relationships/hyperlink" Target="#Tables!D12"/></Relationships>
</file>

<file path=xl/drawings/_rels/drawing4.xml.rels><?xml version="1.0" encoding="UTF-8" standalone="yes"?>
<Relationships xmlns="http://schemas.openxmlformats.org/package/2006/relationships"><Relationship Id="rId1" Type="http://schemas.openxmlformats.org/officeDocument/2006/relationships/hyperlink" Target="#Tables!G12"/></Relationships>
</file>

<file path=xl/drawings/_rels/drawing5.xml.rels><?xml version="1.0" encoding="UTF-8" standalone="yes"?>
<Relationships xmlns="http://schemas.openxmlformats.org/package/2006/relationships"><Relationship Id="rId1" Type="http://schemas.openxmlformats.org/officeDocument/2006/relationships/hyperlink" Target="#Tables!D23"/></Relationships>
</file>

<file path=xl/drawings/_rels/drawing6.xml.rels><?xml version="1.0" encoding="UTF-8" standalone="yes"?>
<Relationships xmlns="http://schemas.openxmlformats.org/package/2006/relationships"><Relationship Id="rId1" Type="http://schemas.openxmlformats.org/officeDocument/2006/relationships/hyperlink" Target="#Tables!G23"/></Relationships>
</file>

<file path=xl/drawings/_rels/drawing7.xml.rels><?xml version="1.0" encoding="UTF-8" standalone="yes"?>
<Relationships xmlns="http://schemas.openxmlformats.org/package/2006/relationships"><Relationship Id="rId1" Type="http://schemas.openxmlformats.org/officeDocument/2006/relationships/hyperlink" Target="#Tables!J23"/></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xdr:rowOff>
    </xdr:from>
    <xdr:to>
      <xdr:col>2</xdr:col>
      <xdr:colOff>323850</xdr:colOff>
      <xdr:row>14</xdr:row>
      <xdr:rowOff>7621</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24429008-2142-4230-847A-D31535FFFCD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673653"/>
              <a:ext cx="1538633" cy="2260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2</xdr:row>
      <xdr:rowOff>7621</xdr:rowOff>
    </xdr:from>
    <xdr:to>
      <xdr:col>8</xdr:col>
      <xdr:colOff>331470</xdr:colOff>
      <xdr:row>14</xdr:row>
      <xdr:rowOff>7621</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171CF6D1-020D-4EF1-929C-1FCA56891BA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651968" y="681273"/>
              <a:ext cx="1538632" cy="2252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2</xdr:row>
      <xdr:rowOff>7621</xdr:rowOff>
    </xdr:from>
    <xdr:to>
      <xdr:col>11</xdr:col>
      <xdr:colOff>331470</xdr:colOff>
      <xdr:row>14</xdr:row>
      <xdr:rowOff>7620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BF2045BB-97F9-4013-B983-5A1A7E4247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474142" y="681273"/>
              <a:ext cx="1538632" cy="2252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2</xdr:row>
      <xdr:rowOff>1</xdr:rowOff>
    </xdr:from>
    <xdr:to>
      <xdr:col>14</xdr:col>
      <xdr:colOff>331470</xdr:colOff>
      <xdr:row>14</xdr:row>
      <xdr:rowOff>7620</xdr:rowOff>
    </xdr:to>
    <mc:AlternateContent xmlns:mc="http://schemas.openxmlformats.org/markup-compatibility/2006">
      <mc:Choice xmlns:a14="http://schemas.microsoft.com/office/drawing/2010/main" Requires="a14">
        <xdr:graphicFrame macro="">
          <xdr:nvGraphicFramePr>
            <xdr:cNvPr id="10" name="Join Year">
              <a:extLst>
                <a:ext uri="{FF2B5EF4-FFF2-40B4-BE49-F238E27FC236}">
                  <a16:creationId xmlns:a16="http://schemas.microsoft.com/office/drawing/2014/main" id="{972EC9AD-8529-4300-9F0C-EBD8675BDB7E}"/>
                </a:ext>
              </a:extLst>
            </xdr:cNvPr>
            <xdr:cNvGraphicFramePr/>
          </xdr:nvGraphicFramePr>
          <xdr:xfrm>
            <a:off x="0" y="0"/>
            <a:ext cx="0" cy="0"/>
          </xdr:xfrm>
          <a:graphic>
            <a:graphicData uri="http://schemas.microsoft.com/office/drawing/2010/slicer">
              <sle:slicer xmlns:sle="http://schemas.microsoft.com/office/drawing/2010/slicer" name="Join Year"/>
            </a:graphicData>
          </a:graphic>
        </xdr:graphicFrame>
      </mc:Choice>
      <mc:Fallback>
        <xdr:sp macro="" textlink="">
          <xdr:nvSpPr>
            <xdr:cNvPr id="0" name=""/>
            <xdr:cNvSpPr>
              <a:spLocks noTextEdit="1"/>
            </xdr:cNvSpPr>
          </xdr:nvSpPr>
          <xdr:spPr>
            <a:xfrm>
              <a:off x="7296316" y="673653"/>
              <a:ext cx="1538632" cy="2260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xdr:row>
      <xdr:rowOff>7621</xdr:rowOff>
    </xdr:from>
    <xdr:to>
      <xdr:col>17</xdr:col>
      <xdr:colOff>323850</xdr:colOff>
      <xdr:row>14</xdr:row>
      <xdr:rowOff>1</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40E5CD2D-89E7-4E54-8FDB-8919D71F14D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110870" y="681273"/>
              <a:ext cx="1538632" cy="224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2</xdr:row>
      <xdr:rowOff>7621</xdr:rowOff>
    </xdr:from>
    <xdr:to>
      <xdr:col>20</xdr:col>
      <xdr:colOff>331470</xdr:colOff>
      <xdr:row>14</xdr:row>
      <xdr:rowOff>7620</xdr:rowOff>
    </xdr:to>
    <mc:AlternateContent xmlns:mc="http://schemas.openxmlformats.org/markup-compatibility/2006">
      <mc:Choice xmlns:a14="http://schemas.microsoft.com/office/drawing/2010/main" Requires="a14">
        <xdr:graphicFrame macro="">
          <xdr:nvGraphicFramePr>
            <xdr:cNvPr id="12" name="Tenure Group">
              <a:extLst>
                <a:ext uri="{FF2B5EF4-FFF2-40B4-BE49-F238E27FC236}">
                  <a16:creationId xmlns:a16="http://schemas.microsoft.com/office/drawing/2014/main" id="{7F18F0AC-7DE3-40D1-B23B-50CEDA7B8893}"/>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0940663" y="681273"/>
              <a:ext cx="1538633" cy="2252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xdr:row>
      <xdr:rowOff>1</xdr:rowOff>
    </xdr:from>
    <xdr:to>
      <xdr:col>5</xdr:col>
      <xdr:colOff>323850</xdr:colOff>
      <xdr:row>14</xdr:row>
      <xdr:rowOff>15240</xdr:rowOff>
    </xdr:to>
    <mc:AlternateContent xmlns:mc="http://schemas.openxmlformats.org/markup-compatibility/2006">
      <mc:Choice xmlns:a14="http://schemas.microsoft.com/office/drawing/2010/main" Requires="a14">
        <xdr:graphicFrame macro="">
          <xdr:nvGraphicFramePr>
            <xdr:cNvPr id="13" name="Exit Reason">
              <a:extLst>
                <a:ext uri="{FF2B5EF4-FFF2-40B4-BE49-F238E27FC236}">
                  <a16:creationId xmlns:a16="http://schemas.microsoft.com/office/drawing/2014/main" id="{6AD2E4F2-89A5-4110-A648-2227A03B1059}"/>
                </a:ext>
              </a:extLst>
            </xdr:cNvPr>
            <xdr:cNvGraphicFramePr/>
          </xdr:nvGraphicFramePr>
          <xdr:xfrm>
            <a:off x="0" y="0"/>
            <a:ext cx="0" cy="0"/>
          </xdr:xfrm>
          <a:graphic>
            <a:graphicData uri="http://schemas.microsoft.com/office/drawing/2010/slicer">
              <sle:slicer xmlns:sle="http://schemas.microsoft.com/office/drawing/2010/slicer" name="Exit Reason"/>
            </a:graphicData>
          </a:graphic>
        </xdr:graphicFrame>
      </mc:Choice>
      <mc:Fallback>
        <xdr:sp macro="" textlink="">
          <xdr:nvSpPr>
            <xdr:cNvPr id="0" name=""/>
            <xdr:cNvSpPr>
              <a:spLocks noTextEdit="1"/>
            </xdr:cNvSpPr>
          </xdr:nvSpPr>
          <xdr:spPr>
            <a:xfrm>
              <a:off x="1822174" y="673653"/>
              <a:ext cx="1538633" cy="2268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13090</xdr:colOff>
      <xdr:row>15</xdr:row>
      <xdr:rowOff>2736</xdr:rowOff>
    </xdr:from>
    <xdr:to>
      <xdr:col>3</xdr:col>
      <xdr:colOff>585538</xdr:colOff>
      <xdr:row>20</xdr:row>
      <xdr:rowOff>0</xdr:rowOff>
    </xdr:to>
    <xdr:sp macro="" textlink="">
      <xdr:nvSpPr>
        <xdr:cNvPr id="14" name="Rectangle: Rounded Corners 13">
          <a:extLst>
            <a:ext uri="{FF2B5EF4-FFF2-40B4-BE49-F238E27FC236}">
              <a16:creationId xmlns:a16="http://schemas.microsoft.com/office/drawing/2014/main" id="{1514B15D-A21D-582F-568B-09793E666C67}"/>
            </a:ext>
          </a:extLst>
        </xdr:cNvPr>
        <xdr:cNvSpPr/>
      </xdr:nvSpPr>
      <xdr:spPr>
        <a:xfrm>
          <a:off x="13090" y="3074799"/>
          <a:ext cx="2401248" cy="91968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Total</a:t>
          </a:r>
          <a:r>
            <a:rPr lang="en-US" sz="2000" b="1" baseline="0"/>
            <a:t> Employees</a:t>
          </a:r>
        </a:p>
        <a:p>
          <a:pPr algn="ctr"/>
          <a:r>
            <a:rPr lang="en-US" sz="2000" b="0" i="0" u="none" strike="noStrike">
              <a:solidFill>
                <a:schemeClr val="lt1"/>
              </a:solidFill>
              <a:effectLst/>
              <a:latin typeface="+mn-lt"/>
              <a:ea typeface="+mn-ea"/>
              <a:cs typeface="+mn-cs"/>
            </a:rPr>
            <a:t>100</a:t>
          </a:r>
          <a:endParaRPr lang="en-US" sz="2000"/>
        </a:p>
      </xdr:txBody>
    </xdr:sp>
    <xdr:clientData/>
  </xdr:twoCellAnchor>
  <xdr:twoCellAnchor editAs="oneCell">
    <xdr:from>
      <xdr:col>20</xdr:col>
      <xdr:colOff>610577</xdr:colOff>
      <xdr:row>1</xdr:row>
      <xdr:rowOff>180729</xdr:rowOff>
    </xdr:from>
    <xdr:to>
      <xdr:col>27</xdr:col>
      <xdr:colOff>0</xdr:colOff>
      <xdr:row>9</xdr:row>
      <xdr:rowOff>34192</xdr:rowOff>
    </xdr:to>
    <mc:AlternateContent xmlns:mc="http://schemas.openxmlformats.org/markup-compatibility/2006">
      <mc:Choice xmlns:tsle="http://schemas.microsoft.com/office/drawing/2012/timeslicer" Requires="tsle">
        <xdr:graphicFrame macro="">
          <xdr:nvGraphicFramePr>
            <xdr:cNvPr id="22" name="Join Date">
              <a:extLst>
                <a:ext uri="{FF2B5EF4-FFF2-40B4-BE49-F238E27FC236}">
                  <a16:creationId xmlns:a16="http://schemas.microsoft.com/office/drawing/2014/main" id="{9D04E94B-D2DF-4F01-AE0C-864854C49589}"/>
                </a:ext>
              </a:extLst>
            </xdr:cNvPr>
            <xdr:cNvGraphicFramePr/>
          </xdr:nvGraphicFramePr>
          <xdr:xfrm>
            <a:off x="0" y="0"/>
            <a:ext cx="0" cy="0"/>
          </xdr:xfrm>
          <a:graphic>
            <a:graphicData uri="http://schemas.microsoft.com/office/drawing/2012/timeslicer">
              <tsle:timeslicer xmlns:tsle="http://schemas.microsoft.com/office/drawing/2012/timeslicer" name="Join Date"/>
            </a:graphicData>
          </a:graphic>
        </xdr:graphicFrame>
      </mc:Choice>
      <mc:Fallback>
        <xdr:sp macro="" textlink="">
          <xdr:nvSpPr>
            <xdr:cNvPr id="0" name=""/>
            <xdr:cNvSpPr>
              <a:spLocks noTextEdit="1"/>
            </xdr:cNvSpPr>
          </xdr:nvSpPr>
          <xdr:spPr>
            <a:xfrm>
              <a:off x="12758403" y="666642"/>
              <a:ext cx="3641162" cy="13553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465222</xdr:colOff>
      <xdr:row>14</xdr:row>
      <xdr:rowOff>184483</xdr:rowOff>
    </xdr:from>
    <xdr:to>
      <xdr:col>26</xdr:col>
      <xdr:colOff>602958</xdr:colOff>
      <xdr:row>19</xdr:row>
      <xdr:rowOff>144379</xdr:rowOff>
    </xdr:to>
    <xdr:sp macro="" textlink="">
      <xdr:nvSpPr>
        <xdr:cNvPr id="23" name="Rectangle: Rounded Corners 22">
          <a:extLst>
            <a:ext uri="{FF2B5EF4-FFF2-40B4-BE49-F238E27FC236}">
              <a16:creationId xmlns:a16="http://schemas.microsoft.com/office/drawing/2014/main" id="{74395E97-5616-4D14-8494-E587A27D63E1}"/>
            </a:ext>
          </a:extLst>
        </xdr:cNvPr>
        <xdr:cNvSpPr/>
      </xdr:nvSpPr>
      <xdr:spPr>
        <a:xfrm>
          <a:off x="14486022" y="3072062"/>
          <a:ext cx="1966536" cy="882317"/>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Average Age</a:t>
          </a:r>
        </a:p>
        <a:p>
          <a:pPr algn="ctr"/>
          <a:r>
            <a:rPr lang="en-US" sz="2000" b="0" i="0" u="none" strike="noStrike">
              <a:solidFill>
                <a:schemeClr val="lt1"/>
              </a:solidFill>
              <a:effectLst/>
              <a:latin typeface="+mn-lt"/>
              <a:ea typeface="+mn-ea"/>
              <a:cs typeface="+mn-cs"/>
            </a:rPr>
            <a:t>38</a:t>
          </a:r>
          <a:r>
            <a:rPr lang="en-US" sz="2000" b="0" i="0" u="none" strike="noStrike" baseline="0">
              <a:solidFill>
                <a:schemeClr val="lt1"/>
              </a:solidFill>
              <a:effectLst/>
              <a:latin typeface="+mn-lt"/>
              <a:ea typeface="+mn-ea"/>
              <a:cs typeface="+mn-cs"/>
            </a:rPr>
            <a:t> Years</a:t>
          </a:r>
        </a:p>
      </xdr:txBody>
    </xdr:sp>
    <xdr:clientData/>
  </xdr:twoCellAnchor>
  <xdr:twoCellAnchor>
    <xdr:from>
      <xdr:col>19</xdr:col>
      <xdr:colOff>104274</xdr:colOff>
      <xdr:row>15</xdr:row>
      <xdr:rowOff>0</xdr:rowOff>
    </xdr:from>
    <xdr:to>
      <xdr:col>22</xdr:col>
      <xdr:colOff>601980</xdr:colOff>
      <xdr:row>20</xdr:row>
      <xdr:rowOff>11662</xdr:rowOff>
    </xdr:to>
    <xdr:sp macro="" textlink="">
      <xdr:nvSpPr>
        <xdr:cNvPr id="24" name="Rectangle: Rounded Corners 23">
          <a:extLst>
            <a:ext uri="{FF2B5EF4-FFF2-40B4-BE49-F238E27FC236}">
              <a16:creationId xmlns:a16="http://schemas.microsoft.com/office/drawing/2014/main" id="{4ACE44C7-C302-446D-BA33-88F23A8FC8AD}"/>
            </a:ext>
          </a:extLst>
        </xdr:cNvPr>
        <xdr:cNvSpPr/>
      </xdr:nvSpPr>
      <xdr:spPr>
        <a:xfrm>
          <a:off x="11686674" y="3072063"/>
          <a:ext cx="2326506" cy="934083"/>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Average Tenure</a:t>
          </a:r>
        </a:p>
        <a:p>
          <a:pPr algn="ctr"/>
          <a:r>
            <a:rPr lang="en-US" sz="2000" b="0" i="0" u="none" strike="noStrike">
              <a:solidFill>
                <a:schemeClr val="lt1"/>
              </a:solidFill>
              <a:effectLst/>
              <a:latin typeface="+mn-lt"/>
              <a:ea typeface="+mn-ea"/>
              <a:cs typeface="+mn-cs"/>
            </a:rPr>
            <a:t>3.6 Years</a:t>
          </a:r>
          <a:endParaRPr lang="en-US" sz="2000" b="1"/>
        </a:p>
      </xdr:txBody>
    </xdr:sp>
    <xdr:clientData/>
  </xdr:twoCellAnchor>
  <xdr:twoCellAnchor>
    <xdr:from>
      <xdr:col>14</xdr:col>
      <xdr:colOff>513346</xdr:colOff>
      <xdr:row>15</xdr:row>
      <xdr:rowOff>0</xdr:rowOff>
    </xdr:from>
    <xdr:to>
      <xdr:col>18</xdr:col>
      <xdr:colOff>216968</xdr:colOff>
      <xdr:row>20</xdr:row>
      <xdr:rowOff>11661</xdr:rowOff>
    </xdr:to>
    <xdr:sp macro="" textlink="">
      <xdr:nvSpPr>
        <xdr:cNvPr id="25" name="Rectangle: Rounded Corners 24">
          <a:extLst>
            <a:ext uri="{FF2B5EF4-FFF2-40B4-BE49-F238E27FC236}">
              <a16:creationId xmlns:a16="http://schemas.microsoft.com/office/drawing/2014/main" id="{D6EA25FB-9EB3-47AD-9BFA-AF83594C9A1B}"/>
            </a:ext>
          </a:extLst>
        </xdr:cNvPr>
        <xdr:cNvSpPr/>
      </xdr:nvSpPr>
      <xdr:spPr>
        <a:xfrm>
          <a:off x="9047746" y="3072063"/>
          <a:ext cx="2142022" cy="93408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Attrition Rate</a:t>
          </a:r>
        </a:p>
        <a:p>
          <a:pPr algn="ctr"/>
          <a:r>
            <a:rPr lang="en-US" sz="2000" b="0" i="0" u="none" strike="noStrike">
              <a:solidFill>
                <a:schemeClr val="lt1"/>
              </a:solidFill>
              <a:effectLst/>
              <a:latin typeface="+mn-lt"/>
              <a:ea typeface="+mn-ea"/>
              <a:cs typeface="+mn-cs"/>
            </a:rPr>
            <a:t>38%</a:t>
          </a:r>
          <a:endParaRPr lang="en-US" sz="2000" b="1"/>
        </a:p>
      </xdr:txBody>
    </xdr:sp>
    <xdr:clientData/>
  </xdr:twoCellAnchor>
  <xdr:twoCellAnchor>
    <xdr:from>
      <xdr:col>10</xdr:col>
      <xdr:colOff>16042</xdr:colOff>
      <xdr:row>15</xdr:row>
      <xdr:rowOff>0</xdr:rowOff>
    </xdr:from>
    <xdr:to>
      <xdr:col>14</xdr:col>
      <xdr:colOff>76189</xdr:colOff>
      <xdr:row>20</xdr:row>
      <xdr:rowOff>11661</xdr:rowOff>
    </xdr:to>
    <xdr:sp macro="" textlink="">
      <xdr:nvSpPr>
        <xdr:cNvPr id="26" name="Rectangle: Rounded Corners 25">
          <a:extLst>
            <a:ext uri="{FF2B5EF4-FFF2-40B4-BE49-F238E27FC236}">
              <a16:creationId xmlns:a16="http://schemas.microsoft.com/office/drawing/2014/main" id="{FFCA687A-1B21-4F74-89AB-899A2900C8D3}"/>
            </a:ext>
          </a:extLst>
        </xdr:cNvPr>
        <xdr:cNvSpPr/>
      </xdr:nvSpPr>
      <xdr:spPr>
        <a:xfrm>
          <a:off x="6112042" y="3072063"/>
          <a:ext cx="2498547" cy="93408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Exited Employees</a:t>
          </a:r>
        </a:p>
        <a:p>
          <a:pPr algn="ctr"/>
          <a:r>
            <a:rPr lang="en-US" sz="2000" b="0" i="0" u="none" strike="noStrike">
              <a:solidFill>
                <a:schemeClr val="lt1"/>
              </a:solidFill>
              <a:effectLst/>
              <a:latin typeface="+mn-lt"/>
              <a:ea typeface="+mn-ea"/>
              <a:cs typeface="+mn-cs"/>
            </a:rPr>
            <a:t>38</a:t>
          </a:r>
          <a:endParaRPr lang="en-US" sz="2000" b="0"/>
        </a:p>
      </xdr:txBody>
    </xdr:sp>
    <xdr:clientData/>
  </xdr:twoCellAnchor>
  <xdr:twoCellAnchor>
    <xdr:from>
      <xdr:col>5</xdr:col>
      <xdr:colOff>16043</xdr:colOff>
      <xdr:row>15</xdr:row>
      <xdr:rowOff>0</xdr:rowOff>
    </xdr:from>
    <xdr:to>
      <xdr:col>9</xdr:col>
      <xdr:colOff>92191</xdr:colOff>
      <xdr:row>20</xdr:row>
      <xdr:rowOff>11661</xdr:rowOff>
    </xdr:to>
    <xdr:sp macro="" textlink="">
      <xdr:nvSpPr>
        <xdr:cNvPr id="27" name="Rectangle: Rounded Corners 26">
          <a:extLst>
            <a:ext uri="{FF2B5EF4-FFF2-40B4-BE49-F238E27FC236}">
              <a16:creationId xmlns:a16="http://schemas.microsoft.com/office/drawing/2014/main" id="{9F0A590D-2B02-4971-9B34-32D5652A1013}"/>
            </a:ext>
          </a:extLst>
        </xdr:cNvPr>
        <xdr:cNvSpPr/>
      </xdr:nvSpPr>
      <xdr:spPr>
        <a:xfrm>
          <a:off x="3064043" y="3072063"/>
          <a:ext cx="2514548" cy="93408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000"/>
            <a:t>🟢</a:t>
          </a:r>
          <a:r>
            <a:rPr lang="en-US" sz="2000" b="1"/>
            <a:t>Active Employees</a:t>
          </a:r>
        </a:p>
        <a:p>
          <a:pPr algn="ctr"/>
          <a:r>
            <a:rPr lang="en-US" sz="2000" b="0" i="0" u="none" strike="noStrike">
              <a:solidFill>
                <a:schemeClr val="lt1"/>
              </a:solidFill>
              <a:effectLst/>
              <a:latin typeface="+mn-lt"/>
              <a:ea typeface="+mn-ea"/>
              <a:cs typeface="+mn-cs"/>
            </a:rPr>
            <a:t>62</a:t>
          </a:r>
          <a:endParaRPr lang="en-US" sz="2000" b="0"/>
        </a:p>
      </xdr:txBody>
    </xdr:sp>
    <xdr:clientData/>
  </xdr:twoCellAnchor>
  <xdr:twoCellAnchor>
    <xdr:from>
      <xdr:col>0</xdr:col>
      <xdr:colOff>0</xdr:colOff>
      <xdr:row>22</xdr:row>
      <xdr:rowOff>5684</xdr:rowOff>
    </xdr:from>
    <xdr:to>
      <xdr:col>8</xdr:col>
      <xdr:colOff>5816</xdr:colOff>
      <xdr:row>37</xdr:row>
      <xdr:rowOff>5816</xdr:rowOff>
    </xdr:to>
    <xdr:graphicFrame macro="">
      <xdr:nvGraphicFramePr>
        <xdr:cNvPr id="28" name="Chart 13">
          <a:extLst>
            <a:ext uri="{FF2B5EF4-FFF2-40B4-BE49-F238E27FC236}">
              <a16:creationId xmlns:a16="http://schemas.microsoft.com/office/drawing/2014/main" id="{42A830D8-43EF-50CC-8406-C0F6CAE57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273389</xdr:colOff>
      <xdr:row>22</xdr:row>
      <xdr:rowOff>58168</xdr:rowOff>
    </xdr:from>
    <xdr:ext cx="2739711" cy="2664092"/>
    <xdr:sp macro="" textlink="">
      <xdr:nvSpPr>
        <xdr:cNvPr id="29" name="TextBox 28">
          <a:hlinkClick xmlns:r="http://schemas.openxmlformats.org/officeDocument/2006/relationships" r:id="rId2"/>
          <a:extLst>
            <a:ext uri="{FF2B5EF4-FFF2-40B4-BE49-F238E27FC236}">
              <a16:creationId xmlns:a16="http://schemas.microsoft.com/office/drawing/2014/main" id="{F2011A12-8812-4112-0504-79AD68CA547C}"/>
            </a:ext>
          </a:extLst>
        </xdr:cNvPr>
        <xdr:cNvSpPr txBox="1"/>
      </xdr:nvSpPr>
      <xdr:spPr>
        <a:xfrm>
          <a:off x="884152" y="4333512"/>
          <a:ext cx="2739711" cy="2664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500" b="1">
              <a:solidFill>
                <a:schemeClr val="bg1"/>
              </a:solidFill>
            </a:rPr>
            <a:t>Employees by Department</a:t>
          </a:r>
        </a:p>
      </xdr:txBody>
    </xdr:sp>
    <xdr:clientData/>
  </xdr:oneCellAnchor>
  <xdr:twoCellAnchor>
    <xdr:from>
      <xdr:col>9</xdr:col>
      <xdr:colOff>6458</xdr:colOff>
      <xdr:row>22</xdr:row>
      <xdr:rowOff>2909</xdr:rowOff>
    </xdr:from>
    <xdr:to>
      <xdr:col>17</xdr:col>
      <xdr:colOff>5817</xdr:colOff>
      <xdr:row>37</xdr:row>
      <xdr:rowOff>11634</xdr:rowOff>
    </xdr:to>
    <xdr:graphicFrame macro="">
      <xdr:nvGraphicFramePr>
        <xdr:cNvPr id="30" name="Chart 14">
          <a:extLst>
            <a:ext uri="{FF2B5EF4-FFF2-40B4-BE49-F238E27FC236}">
              <a16:creationId xmlns:a16="http://schemas.microsoft.com/office/drawing/2014/main" id="{1C821D3B-C081-2553-879C-2F6936351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273389</xdr:colOff>
      <xdr:row>22</xdr:row>
      <xdr:rowOff>122151</xdr:rowOff>
    </xdr:from>
    <xdr:ext cx="3402824" cy="435410"/>
    <xdr:sp macro="" textlink="">
      <xdr:nvSpPr>
        <xdr:cNvPr id="31" name="TextBox 30">
          <a:hlinkClick xmlns:r="http://schemas.openxmlformats.org/officeDocument/2006/relationships" r:id="rId4"/>
          <a:extLst>
            <a:ext uri="{FF2B5EF4-FFF2-40B4-BE49-F238E27FC236}">
              <a16:creationId xmlns:a16="http://schemas.microsoft.com/office/drawing/2014/main" id="{CD9509FA-5457-8211-5BD7-922FBA65B666}"/>
            </a:ext>
          </a:extLst>
        </xdr:cNvPr>
        <xdr:cNvSpPr txBox="1"/>
      </xdr:nvSpPr>
      <xdr:spPr>
        <a:xfrm>
          <a:off x="6406560" y="4508297"/>
          <a:ext cx="3402824" cy="435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500" b="1">
              <a:solidFill>
                <a:schemeClr val="bg1"/>
              </a:solidFill>
            </a:rPr>
            <a:t>Active vs Exited</a:t>
          </a:r>
        </a:p>
      </xdr:txBody>
    </xdr:sp>
    <xdr:clientData/>
  </xdr:oneCellAnchor>
  <xdr:twoCellAnchor>
    <xdr:from>
      <xdr:col>18</xdr:col>
      <xdr:colOff>7794</xdr:colOff>
      <xdr:row>21</xdr:row>
      <xdr:rowOff>177412</xdr:rowOff>
    </xdr:from>
    <xdr:to>
      <xdr:col>26</xdr:col>
      <xdr:colOff>5816</xdr:colOff>
      <xdr:row>37</xdr:row>
      <xdr:rowOff>35482</xdr:rowOff>
    </xdr:to>
    <xdr:graphicFrame macro="">
      <xdr:nvGraphicFramePr>
        <xdr:cNvPr id="32" name="Chart 15">
          <a:extLst>
            <a:ext uri="{FF2B5EF4-FFF2-40B4-BE49-F238E27FC236}">
              <a16:creationId xmlns:a16="http://schemas.microsoft.com/office/drawing/2014/main" id="{EF9387B8-7047-1566-192E-E29B04FCE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177006</xdr:rowOff>
    </xdr:from>
    <xdr:to>
      <xdr:col>7</xdr:col>
      <xdr:colOff>610762</xdr:colOff>
      <xdr:row>54</xdr:row>
      <xdr:rowOff>5817</xdr:rowOff>
    </xdr:to>
    <xdr:graphicFrame macro="">
      <xdr:nvGraphicFramePr>
        <xdr:cNvPr id="33" name="Chart 16">
          <a:extLst>
            <a:ext uri="{FF2B5EF4-FFF2-40B4-BE49-F238E27FC236}">
              <a16:creationId xmlns:a16="http://schemas.microsoft.com/office/drawing/2014/main" id="{B1F0DF7D-5D42-1D43-193A-CE3DA8B3E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6806</xdr:colOff>
      <xdr:row>38</xdr:row>
      <xdr:rowOff>171596</xdr:rowOff>
    </xdr:from>
    <xdr:to>
      <xdr:col>17</xdr:col>
      <xdr:colOff>1</xdr:colOff>
      <xdr:row>54</xdr:row>
      <xdr:rowOff>29084</xdr:rowOff>
    </xdr:to>
    <xdr:graphicFrame macro="">
      <xdr:nvGraphicFramePr>
        <xdr:cNvPr id="34" name="Chart 17">
          <a:extLst>
            <a:ext uri="{FF2B5EF4-FFF2-40B4-BE49-F238E27FC236}">
              <a16:creationId xmlns:a16="http://schemas.microsoft.com/office/drawing/2014/main" id="{F44E0318-4740-CAB5-21FF-10C5C58F2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4071</xdr:colOff>
      <xdr:row>39</xdr:row>
      <xdr:rowOff>3432</xdr:rowOff>
    </xdr:from>
    <xdr:to>
      <xdr:col>25</xdr:col>
      <xdr:colOff>604946</xdr:colOff>
      <xdr:row>54</xdr:row>
      <xdr:rowOff>5817</xdr:rowOff>
    </xdr:to>
    <xdr:graphicFrame macro="">
      <xdr:nvGraphicFramePr>
        <xdr:cNvPr id="35" name="Chart 18">
          <a:extLst>
            <a:ext uri="{FF2B5EF4-FFF2-40B4-BE49-F238E27FC236}">
              <a16:creationId xmlns:a16="http://schemas.microsoft.com/office/drawing/2014/main" id="{09105488-9725-3352-CC49-6ADCA63B1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55</xdr:row>
      <xdr:rowOff>177935</xdr:rowOff>
    </xdr:from>
    <xdr:to>
      <xdr:col>8</xdr:col>
      <xdr:colOff>11633</xdr:colOff>
      <xdr:row>71</xdr:row>
      <xdr:rowOff>11634</xdr:rowOff>
    </xdr:to>
    <xdr:graphicFrame macro="">
      <xdr:nvGraphicFramePr>
        <xdr:cNvPr id="36" name="Chart 19">
          <a:extLst>
            <a:ext uri="{FF2B5EF4-FFF2-40B4-BE49-F238E27FC236}">
              <a16:creationId xmlns:a16="http://schemas.microsoft.com/office/drawing/2014/main" id="{5E37172B-68B8-F716-B2C8-5B1D3C1DA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8260</xdr:colOff>
      <xdr:row>56</xdr:row>
      <xdr:rowOff>1395</xdr:rowOff>
    </xdr:from>
    <xdr:to>
      <xdr:col>17</xdr:col>
      <xdr:colOff>5817</xdr:colOff>
      <xdr:row>71</xdr:row>
      <xdr:rowOff>39786</xdr:rowOff>
    </xdr:to>
    <xdr:graphicFrame macro="">
      <xdr:nvGraphicFramePr>
        <xdr:cNvPr id="37" name="Chart 20">
          <a:extLst>
            <a:ext uri="{FF2B5EF4-FFF2-40B4-BE49-F238E27FC236}">
              <a16:creationId xmlns:a16="http://schemas.microsoft.com/office/drawing/2014/main" id="{EB700935-0A60-4797-7EB3-FF5EA1C49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7387</xdr:colOff>
      <xdr:row>56</xdr:row>
      <xdr:rowOff>11227</xdr:rowOff>
    </xdr:from>
    <xdr:to>
      <xdr:col>25</xdr:col>
      <xdr:colOff>604947</xdr:colOff>
      <xdr:row>71</xdr:row>
      <xdr:rowOff>49618</xdr:rowOff>
    </xdr:to>
    <xdr:graphicFrame macro="">
      <xdr:nvGraphicFramePr>
        <xdr:cNvPr id="38" name="Chart 21">
          <a:extLst>
            <a:ext uri="{FF2B5EF4-FFF2-40B4-BE49-F238E27FC236}">
              <a16:creationId xmlns:a16="http://schemas.microsoft.com/office/drawing/2014/main" id="{885992DB-9015-3C45-6F38-F2839483A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0</xdr:colOff>
      <xdr:row>56</xdr:row>
      <xdr:rowOff>104704</xdr:rowOff>
    </xdr:from>
    <xdr:to>
      <xdr:col>24</xdr:col>
      <xdr:colOff>593312</xdr:colOff>
      <xdr:row>58</xdr:row>
      <xdr:rowOff>95251</xdr:rowOff>
    </xdr:to>
    <xdr:sp macro="" textlink="">
      <xdr:nvSpPr>
        <xdr:cNvPr id="39" name="TextBox 38">
          <a:hlinkClick xmlns:r="http://schemas.openxmlformats.org/officeDocument/2006/relationships" r:id="rId12"/>
          <a:extLst>
            <a:ext uri="{FF2B5EF4-FFF2-40B4-BE49-F238E27FC236}">
              <a16:creationId xmlns:a16="http://schemas.microsoft.com/office/drawing/2014/main" id="{FF067FBC-99E2-3223-69BC-4905CE26F72C}"/>
            </a:ext>
          </a:extLst>
        </xdr:cNvPr>
        <xdr:cNvSpPr txBox="1"/>
      </xdr:nvSpPr>
      <xdr:spPr>
        <a:xfrm>
          <a:off x="11612563" y="10629829"/>
          <a:ext cx="3649249" cy="3556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rPr>
            <a:t>Employee Status Timeline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0.19134</cdr:x>
      <cdr:y>0.02226</cdr:y>
    </cdr:from>
    <cdr:to>
      <cdr:x>0.88686</cdr:x>
      <cdr:y>1</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37E5E5-DA0D-9655-274A-1A586C940C0E}"/>
            </a:ext>
          </a:extLst>
        </cdr:cNvPr>
        <cdr:cNvSpPr txBox="1"/>
      </cdr:nvSpPr>
      <cdr:spPr>
        <a:xfrm xmlns:a="http://schemas.openxmlformats.org/drawingml/2006/main">
          <a:off x="934527" y="61076"/>
          <a:ext cx="3397008" cy="26821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a:solidFill>
                <a:schemeClr val="bg1"/>
              </a:solidFill>
            </a:rPr>
            <a:t>Exit Reasons</a:t>
          </a:r>
          <a:endParaRPr lang="en-US" sz="15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0.00238</cdr:x>
      <cdr:y>0.0248</cdr:y>
    </cdr:from>
    <cdr:to>
      <cdr:x>0.99762</cdr:x>
      <cdr:y>0.89926</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B07E3FB-BFEE-8A20-0C81-88466E765ED2}"/>
            </a:ext>
          </a:extLst>
        </cdr:cNvPr>
        <cdr:cNvSpPr txBox="1"/>
      </cdr:nvSpPr>
      <cdr:spPr>
        <a:xfrm xmlns:a="http://schemas.openxmlformats.org/drawingml/2006/main">
          <a:off x="11634" y="67300"/>
          <a:ext cx="4862839" cy="23732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kern="1200">
              <a:solidFill>
                <a:schemeClr val="bg1"/>
              </a:solidFill>
            </a:rPr>
            <a:t>Employee Joining Trend</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0.02227</cdr:y>
    </cdr:from>
    <cdr:to>
      <cdr:x>1</cdr:x>
      <cdr:y>0.89183</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49DB5CB-F76C-ABA0-A2B8-7D42239800F3}"/>
            </a:ext>
          </a:extLst>
        </cdr:cNvPr>
        <cdr:cNvSpPr txBox="1"/>
      </cdr:nvSpPr>
      <cdr:spPr>
        <a:xfrm xmlns:a="http://schemas.openxmlformats.org/drawingml/2006/main">
          <a:off x="-6806" y="61076"/>
          <a:ext cx="4880290" cy="23848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a:solidFill>
                <a:schemeClr val="bg1"/>
              </a:solidFill>
            </a:rPr>
            <a:t>Attrition by Department</a:t>
          </a:r>
          <a:endParaRPr lang="en-US" sz="1500" b="1" kern="12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0.14828</cdr:x>
      <cdr:y>0.05675</cdr:y>
    </cdr:from>
    <cdr:to>
      <cdr:x>0.85685</cdr:x>
      <cdr:y>0.9957</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6BB81A2-B860-1430-4D76-222A00614885}"/>
            </a:ext>
          </a:extLst>
        </cdr:cNvPr>
        <cdr:cNvSpPr txBox="1"/>
      </cdr:nvSpPr>
      <cdr:spPr>
        <a:xfrm xmlns:a="http://schemas.openxmlformats.org/drawingml/2006/main">
          <a:off x="723029" y="153621"/>
          <a:ext cx="3455174" cy="25419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a:solidFill>
                <a:schemeClr val="bg1"/>
              </a:solidFill>
            </a:rPr>
            <a:t>Gender Distribution</a:t>
          </a:r>
          <a:endParaRPr lang="en-US" sz="1500" b="1" kern="1200">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0.00119</cdr:x>
      <cdr:y>0.02655</cdr:y>
    </cdr:from>
    <cdr:to>
      <cdr:x>0.99644</cdr:x>
      <cdr:y>0.87805</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F797B6C-F7A8-FCE7-5611-534AE4AD023E}"/>
            </a:ext>
          </a:extLst>
        </cdr:cNvPr>
        <cdr:cNvSpPr txBox="1"/>
      </cdr:nvSpPr>
      <cdr:spPr>
        <a:xfrm xmlns:a="http://schemas.openxmlformats.org/drawingml/2006/main">
          <a:off x="5817" y="72187"/>
          <a:ext cx="4874473" cy="23150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a:solidFill>
                <a:schemeClr val="bg1"/>
              </a:solidFill>
            </a:rPr>
            <a:t>Age Group Distribution</a:t>
          </a:r>
          <a:endParaRPr lang="en-US" sz="1500" b="1" kern="1200">
            <a:solidFill>
              <a:schemeClr val="bg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0.20317</cdr:x>
      <cdr:y>0.01858</cdr:y>
    </cdr:from>
    <cdr:to>
      <cdr:x>0.8928</cdr:x>
      <cdr:y>0.98974</cdr:y>
    </cdr:to>
    <cdr:sp macro="" textlink="">
      <cdr:nvSpPr>
        <cdr:cNvPr id="2" name="TextBox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C20534C-B084-AB5B-5F14-019E34CBD2F5}"/>
            </a:ext>
          </a:extLst>
        </cdr:cNvPr>
        <cdr:cNvSpPr txBox="1"/>
      </cdr:nvSpPr>
      <cdr:spPr>
        <a:xfrm xmlns:a="http://schemas.openxmlformats.org/drawingml/2006/main">
          <a:off x="992229" y="50956"/>
          <a:ext cx="3367923" cy="2664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500" b="1">
              <a:solidFill>
                <a:schemeClr val="bg1"/>
              </a:solidFill>
            </a:rPr>
            <a:t>Tenure Distribution</a:t>
          </a:r>
          <a:endParaRPr lang="en-US" sz="15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HAH" refreshedDate="46236.802079861111" createdVersion="8" refreshedVersion="8" minRefreshableVersion="3" recordCount="100" xr:uid="{D92F340C-E0BC-4BDA-ABCA-80599D3CC995}">
  <cacheSource type="worksheet">
    <worksheetSource name="EmployeeData"/>
  </cacheSource>
  <cacheFields count="18">
    <cacheField name="Employee ID" numFmtId="0">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Department" numFmtId="0">
      <sharedItems count="6">
        <s v="IT"/>
        <s v="Customer Support"/>
        <s v="Marketing"/>
        <s v="Finance"/>
        <s v="Sales"/>
        <s v="HR"/>
      </sharedItems>
    </cacheField>
    <cacheField name="Join Date" numFmtId="170">
      <sharedItems containsSemiMixedTypes="0" containsNonDate="0" containsDate="1" containsString="0" minDate="2018-01-23T00:00:00" maxDate="2024-12-07T00:00:00" count="50">
        <d v="2018-11-03T00:00:00"/>
        <d v="2020-10-17T00:00:00"/>
        <d v="2021-08-15T00:00:00"/>
        <d v="2023-06-10T00:00:00"/>
        <d v="2019-01-14T00:00:00"/>
        <d v="2022-07-07T00:00:00"/>
        <d v="2024-06-14T00:00:00"/>
        <d v="2018-07-23T00:00:00"/>
        <d v="2023-03-02T00:00:00"/>
        <d v="2024-02-04T00:00:00"/>
        <d v="2024-07-01T00:00:00"/>
        <d v="2021-01-31T00:00:00"/>
        <d v="2018-12-12T00:00:00"/>
        <d v="2024-01-23T00:00:00"/>
        <d v="2018-01-23T00:00:00"/>
        <d v="2019-09-09T00:00:00"/>
        <d v="2019-03-10T00:00:00"/>
        <d v="2022-02-27T00:00:00"/>
        <d v="2024-07-12T00:00:00"/>
        <d v="2019-05-03T00:00:00"/>
        <d v="2021-02-23T00:00:00"/>
        <d v="2023-11-14T00:00:00"/>
        <d v="2023-11-26T00:00:00"/>
        <d v="2024-06-22T00:00:00"/>
        <d v="2019-05-12T00:00:00"/>
        <d v="2022-11-01T00:00:00"/>
        <d v="2020-06-24T00:00:00"/>
        <d v="2023-06-18T00:00:00"/>
        <d v="2021-06-13T00:00:00"/>
        <d v="2018-11-15T00:00:00"/>
        <d v="2021-02-22T00:00:00"/>
        <d v="2024-08-29T00:00:00"/>
        <d v="2021-06-30T00:00:00"/>
        <d v="2020-09-14T00:00:00"/>
        <d v="2018-09-30T00:00:00"/>
        <d v="2018-08-02T00:00:00"/>
        <d v="2021-08-10T00:00:00"/>
        <d v="2021-05-08T00:00:00"/>
        <d v="2019-02-17T00:00:00"/>
        <d v="2020-12-15T00:00:00"/>
        <d v="2020-09-25T00:00:00"/>
        <d v="2024-12-06T00:00:00"/>
        <d v="2024-01-03T00:00:00"/>
        <d v="2022-01-29T00:00:00"/>
        <d v="2023-10-16T00:00:00"/>
        <d v="2019-06-08T00:00:00"/>
        <d v="2021-11-14T00:00:00"/>
        <d v="2019-08-23T00:00:00"/>
        <d v="2024-09-05T00:00:00"/>
        <d v="2018-07-16T00:00:00"/>
      </sharedItems>
      <fieldGroup par="17"/>
    </cacheField>
    <cacheField name="Exit Date" numFmtId="170">
      <sharedItems containsNonDate="0" containsDate="1" containsString="0" containsBlank="1" minDate="2020-04-15T00:00:00" maxDate="2024-12-03T00:00:00"/>
    </cacheField>
    <cacheField name="Exit Reason" numFmtId="0">
      <sharedItems count="7">
        <s v="Still Employed"/>
        <s v="Better Opportunity"/>
        <s v="Retirement"/>
        <s v="Termination"/>
        <s v="Health Issues"/>
        <s v="Relocation"/>
        <s v="Personal Reasons"/>
      </sharedItems>
    </cacheField>
    <cacheField name="Status" numFmtId="0">
      <sharedItems count="2">
        <s v="Active"/>
        <s v="Exited"/>
      </sharedItems>
    </cacheField>
    <cacheField name="Gender" numFmtId="0">
      <sharedItems count="3">
        <s v="Female"/>
        <s v="Male"/>
        <s v="Other"/>
      </sharedItems>
    </cacheField>
    <cacheField name="Age" numFmtId="0">
      <sharedItems containsSemiMixedTypes="0" containsString="0" containsNumber="1" containsInteger="1" minValue="22" maxValue="53"/>
    </cacheField>
    <cacheField name="Tenure" numFmtId="0">
      <sharedItems containsSemiMixedTypes="0" containsString="0" containsNumber="1" minValue="0.6" maxValue="8.6"/>
    </cacheField>
    <cacheField name="Join Year" numFmtId="0">
      <sharedItems containsSemiMixedTypes="0" containsString="0" containsNumber="1" containsInteger="1" minValue="2018" maxValue="2024" count="7">
        <n v="2018"/>
        <n v="2020"/>
        <n v="2021"/>
        <n v="2023"/>
        <n v="2019"/>
        <n v="2022"/>
        <n v="2024"/>
      </sharedItems>
    </cacheField>
    <cacheField name="Join Month" numFmtId="0">
      <sharedItems/>
    </cacheField>
    <cacheField name="Exit Year" numFmtId="0">
      <sharedItems containsMixedTypes="1" containsNumber="1" containsInteger="1" minValue="2020" maxValue="2024"/>
    </cacheField>
    <cacheField name="Age Group" numFmtId="0">
      <sharedItems count="4">
        <s v="20-29 Years"/>
        <s v="50+ Years"/>
        <s v="40-49 Years"/>
        <s v="30-39 Years"/>
      </sharedItems>
    </cacheField>
    <cacheField name="Tenure Group" numFmtId="0">
      <sharedItems count="4">
        <s v="More than 5 Years"/>
        <s v="3-5 Years"/>
        <s v="1-3 Years"/>
        <s v="Less than 1 Year"/>
      </sharedItems>
    </cacheField>
    <cacheField name="Attrition" numFmtId="0">
      <sharedItems/>
    </cacheField>
    <cacheField name="Months (Join Date)" numFmtId="0" databaseField="0">
      <fieldGroup base="2">
        <rangePr groupBy="months" startDate="2018-01-23T00:00:00" endDate="2024-12-07T00:00:00"/>
        <groupItems count="14">
          <s v="&lt;1/23/2018"/>
          <s v="Jan"/>
          <s v="Feb"/>
          <s v="Mar"/>
          <s v="Apr"/>
          <s v="May"/>
          <s v="Jun"/>
          <s v="Jul"/>
          <s v="Aug"/>
          <s v="Sep"/>
          <s v="Oct"/>
          <s v="Nov"/>
          <s v="Dec"/>
          <s v="&gt;12/7/2024"/>
        </groupItems>
      </fieldGroup>
    </cacheField>
    <cacheField name="Quarters (Join Date)" numFmtId="0" databaseField="0">
      <fieldGroup base="2">
        <rangePr groupBy="quarters" startDate="2018-01-23T00:00:00" endDate="2024-12-07T00:00:00"/>
        <groupItems count="6">
          <s v="&lt;1/23/2018"/>
          <s v="Qtr1"/>
          <s v="Qtr2"/>
          <s v="Qtr3"/>
          <s v="Qtr4"/>
          <s v="&gt;12/7/2024"/>
        </groupItems>
      </fieldGroup>
    </cacheField>
    <cacheField name="Years (Join Date)" numFmtId="0" databaseField="0">
      <fieldGroup base="2">
        <rangePr groupBy="years" startDate="2018-01-23T00:00:00" endDate="2024-12-07T00:00:00"/>
        <groupItems count="9">
          <s v="&lt;1/23/2018"/>
          <s v="2018"/>
          <s v="2019"/>
          <s v="2020"/>
          <s v="2021"/>
          <s v="2022"/>
          <s v="2023"/>
          <s v="2024"/>
          <s v="&gt;12/7/2024"/>
        </groupItems>
      </fieldGroup>
    </cacheField>
  </cacheFields>
  <extLst>
    <ext xmlns:x14="http://schemas.microsoft.com/office/spreadsheetml/2009/9/main" uri="{725AE2AE-9491-48be-B2B4-4EB974FC3084}">
      <x14:pivotCacheDefinition pivotCacheId="1181107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m/>
    <x v="0"/>
    <x v="0"/>
    <x v="0"/>
    <n v="27"/>
    <n v="7.8"/>
    <x v="0"/>
    <s v="Nov"/>
    <s v="Active"/>
    <x v="0"/>
    <x v="0"/>
    <s v="Active"/>
  </r>
  <r>
    <x v="1"/>
    <x v="1"/>
    <x v="1"/>
    <m/>
    <x v="0"/>
    <x v="0"/>
    <x v="0"/>
    <n v="22"/>
    <n v="5.8"/>
    <x v="1"/>
    <s v="Oct"/>
    <s v="Active"/>
    <x v="0"/>
    <x v="0"/>
    <s v="Active"/>
  </r>
  <r>
    <x v="2"/>
    <x v="1"/>
    <x v="2"/>
    <m/>
    <x v="0"/>
    <x v="0"/>
    <x v="1"/>
    <n v="50"/>
    <n v="5"/>
    <x v="2"/>
    <s v="Aug"/>
    <s v="Active"/>
    <x v="1"/>
    <x v="0"/>
    <s v="Active"/>
  </r>
  <r>
    <x v="3"/>
    <x v="1"/>
    <x v="3"/>
    <m/>
    <x v="0"/>
    <x v="0"/>
    <x v="1"/>
    <n v="24"/>
    <n v="3.2"/>
    <x v="3"/>
    <s v="Jun"/>
    <s v="Active"/>
    <x v="0"/>
    <x v="1"/>
    <s v="Active"/>
  </r>
  <r>
    <x v="4"/>
    <x v="1"/>
    <x v="4"/>
    <d v="2021-09-10T00:00:00"/>
    <x v="1"/>
    <x v="1"/>
    <x v="0"/>
    <n v="50"/>
    <n v="2.7"/>
    <x v="4"/>
    <s v="Jan"/>
    <n v="2021"/>
    <x v="1"/>
    <x v="2"/>
    <s v="Exited"/>
  </r>
  <r>
    <x v="5"/>
    <x v="2"/>
    <x v="5"/>
    <d v="2023-02-15T00:00:00"/>
    <x v="2"/>
    <x v="1"/>
    <x v="0"/>
    <n v="28"/>
    <n v="0.7"/>
    <x v="5"/>
    <s v="Jul"/>
    <n v="2023"/>
    <x v="0"/>
    <x v="3"/>
    <s v="Exited"/>
  </r>
  <r>
    <x v="6"/>
    <x v="3"/>
    <x v="6"/>
    <m/>
    <x v="0"/>
    <x v="0"/>
    <x v="0"/>
    <n v="40"/>
    <n v="2.2000000000000002"/>
    <x v="6"/>
    <s v="Jun"/>
    <s v="Active"/>
    <x v="2"/>
    <x v="2"/>
    <s v="Active"/>
  </r>
  <r>
    <x v="7"/>
    <x v="0"/>
    <x v="7"/>
    <m/>
    <x v="0"/>
    <x v="0"/>
    <x v="2"/>
    <n v="32"/>
    <n v="8.1"/>
    <x v="0"/>
    <s v="Jul"/>
    <s v="Active"/>
    <x v="3"/>
    <x v="0"/>
    <s v="Active"/>
  </r>
  <r>
    <x v="8"/>
    <x v="1"/>
    <x v="8"/>
    <m/>
    <x v="0"/>
    <x v="0"/>
    <x v="2"/>
    <n v="50"/>
    <n v="3.5"/>
    <x v="3"/>
    <s v="Mar"/>
    <s v="Active"/>
    <x v="1"/>
    <x v="1"/>
    <s v="Active"/>
  </r>
  <r>
    <x v="9"/>
    <x v="4"/>
    <x v="9"/>
    <m/>
    <x v="0"/>
    <x v="0"/>
    <x v="0"/>
    <n v="24"/>
    <n v="2.5"/>
    <x v="6"/>
    <s v="Feb"/>
    <s v="Active"/>
    <x v="0"/>
    <x v="2"/>
    <s v="Active"/>
  </r>
  <r>
    <x v="10"/>
    <x v="5"/>
    <x v="10"/>
    <m/>
    <x v="0"/>
    <x v="0"/>
    <x v="1"/>
    <n v="36"/>
    <n v="2.1"/>
    <x v="6"/>
    <s v="Jul"/>
    <s v="Active"/>
    <x v="3"/>
    <x v="2"/>
    <s v="Active"/>
  </r>
  <r>
    <x v="11"/>
    <x v="3"/>
    <x v="11"/>
    <d v="2024-01-31T00:00:00"/>
    <x v="2"/>
    <x v="1"/>
    <x v="2"/>
    <n v="49"/>
    <n v="3"/>
    <x v="2"/>
    <s v="Jan"/>
    <n v="2024"/>
    <x v="2"/>
    <x v="1"/>
    <s v="Exited"/>
  </r>
  <r>
    <x v="12"/>
    <x v="0"/>
    <x v="12"/>
    <d v="2020-04-15T00:00:00"/>
    <x v="3"/>
    <x v="1"/>
    <x v="1"/>
    <n v="43"/>
    <n v="1.4000000000000001"/>
    <x v="0"/>
    <s v="Dec"/>
    <n v="2020"/>
    <x v="2"/>
    <x v="2"/>
    <s v="Exited"/>
  </r>
  <r>
    <x v="13"/>
    <x v="1"/>
    <x v="13"/>
    <m/>
    <x v="0"/>
    <x v="0"/>
    <x v="1"/>
    <n v="40"/>
    <n v="2.6"/>
    <x v="6"/>
    <s v="Jan"/>
    <s v="Active"/>
    <x v="2"/>
    <x v="2"/>
    <s v="Active"/>
  </r>
  <r>
    <x v="14"/>
    <x v="1"/>
    <x v="14"/>
    <m/>
    <x v="0"/>
    <x v="0"/>
    <x v="2"/>
    <n v="42"/>
    <n v="8.6"/>
    <x v="0"/>
    <s v="Jan"/>
    <s v="Active"/>
    <x v="2"/>
    <x v="0"/>
    <s v="Active"/>
  </r>
  <r>
    <x v="15"/>
    <x v="0"/>
    <x v="15"/>
    <d v="2022-04-26T00:00:00"/>
    <x v="4"/>
    <x v="1"/>
    <x v="2"/>
    <n v="35"/>
    <n v="2.7"/>
    <x v="4"/>
    <s v="Sep"/>
    <n v="2022"/>
    <x v="3"/>
    <x v="2"/>
    <s v="Exited"/>
  </r>
  <r>
    <x v="16"/>
    <x v="3"/>
    <x v="16"/>
    <d v="2020-10-13T00:00:00"/>
    <x v="3"/>
    <x v="1"/>
    <x v="0"/>
    <n v="31"/>
    <n v="1.6"/>
    <x v="4"/>
    <s v="Mar"/>
    <n v="2020"/>
    <x v="3"/>
    <x v="2"/>
    <s v="Exited"/>
  </r>
  <r>
    <x v="17"/>
    <x v="5"/>
    <x v="17"/>
    <m/>
    <x v="0"/>
    <x v="0"/>
    <x v="2"/>
    <n v="51"/>
    <n v="4.5"/>
    <x v="5"/>
    <s v="Feb"/>
    <s v="Active"/>
    <x v="1"/>
    <x v="1"/>
    <s v="Active"/>
  </r>
  <r>
    <x v="18"/>
    <x v="0"/>
    <x v="18"/>
    <m/>
    <x v="0"/>
    <x v="0"/>
    <x v="2"/>
    <n v="48"/>
    <n v="2.1"/>
    <x v="6"/>
    <s v="Jul"/>
    <s v="Active"/>
    <x v="2"/>
    <x v="2"/>
    <s v="Active"/>
  </r>
  <r>
    <x v="19"/>
    <x v="3"/>
    <x v="19"/>
    <d v="2022-12-01T00:00:00"/>
    <x v="5"/>
    <x v="1"/>
    <x v="0"/>
    <n v="41"/>
    <n v="3.6"/>
    <x v="4"/>
    <s v="May"/>
    <n v="2022"/>
    <x v="2"/>
    <x v="1"/>
    <s v="Exited"/>
  </r>
  <r>
    <x v="20"/>
    <x v="5"/>
    <x v="20"/>
    <d v="2024-04-10T00:00:00"/>
    <x v="2"/>
    <x v="1"/>
    <x v="2"/>
    <n v="35"/>
    <n v="3.2"/>
    <x v="2"/>
    <s v="Feb"/>
    <n v="2024"/>
    <x v="3"/>
    <x v="1"/>
    <s v="Exited"/>
  </r>
  <r>
    <x v="21"/>
    <x v="2"/>
    <x v="21"/>
    <d v="2024-06-03T00:00:00"/>
    <x v="4"/>
    <x v="1"/>
    <x v="2"/>
    <n v="24"/>
    <n v="0.6"/>
    <x v="3"/>
    <s v="Nov"/>
    <n v="2024"/>
    <x v="0"/>
    <x v="3"/>
    <s v="Exited"/>
  </r>
  <r>
    <x v="22"/>
    <x v="1"/>
    <x v="22"/>
    <m/>
    <x v="0"/>
    <x v="0"/>
    <x v="2"/>
    <n v="41"/>
    <n v="2.7"/>
    <x v="3"/>
    <s v="Nov"/>
    <s v="Active"/>
    <x v="2"/>
    <x v="2"/>
    <s v="Active"/>
  </r>
  <r>
    <x v="23"/>
    <x v="2"/>
    <x v="23"/>
    <m/>
    <x v="0"/>
    <x v="0"/>
    <x v="2"/>
    <n v="40"/>
    <n v="2.2000000000000002"/>
    <x v="6"/>
    <s v="Jun"/>
    <s v="Active"/>
    <x v="2"/>
    <x v="2"/>
    <s v="Active"/>
  </r>
  <r>
    <x v="24"/>
    <x v="0"/>
    <x v="24"/>
    <m/>
    <x v="0"/>
    <x v="0"/>
    <x v="0"/>
    <n v="48"/>
    <n v="7.3"/>
    <x v="4"/>
    <s v="May"/>
    <s v="Active"/>
    <x v="2"/>
    <x v="0"/>
    <s v="Active"/>
  </r>
  <r>
    <x v="25"/>
    <x v="1"/>
    <x v="25"/>
    <m/>
    <x v="0"/>
    <x v="0"/>
    <x v="0"/>
    <n v="52"/>
    <n v="3.8000000000000003"/>
    <x v="5"/>
    <s v="Nov"/>
    <s v="Active"/>
    <x v="1"/>
    <x v="1"/>
    <s v="Active"/>
  </r>
  <r>
    <x v="26"/>
    <x v="4"/>
    <x v="26"/>
    <d v="2021-09-24T00:00:00"/>
    <x v="6"/>
    <x v="1"/>
    <x v="2"/>
    <n v="33"/>
    <n v="1.3"/>
    <x v="1"/>
    <s v="Jun"/>
    <n v="2021"/>
    <x v="3"/>
    <x v="2"/>
    <s v="Exited"/>
  </r>
  <r>
    <x v="27"/>
    <x v="2"/>
    <x v="27"/>
    <m/>
    <x v="0"/>
    <x v="0"/>
    <x v="1"/>
    <n v="51"/>
    <n v="3.2"/>
    <x v="3"/>
    <s v="Jun"/>
    <s v="Active"/>
    <x v="1"/>
    <x v="1"/>
    <s v="Active"/>
  </r>
  <r>
    <x v="28"/>
    <x v="0"/>
    <x v="28"/>
    <d v="2022-07-13T00:00:00"/>
    <x v="3"/>
    <x v="1"/>
    <x v="1"/>
    <n v="46"/>
    <n v="1.1000000000000001"/>
    <x v="2"/>
    <s v="Jun"/>
    <n v="2022"/>
    <x v="2"/>
    <x v="2"/>
    <s v="Exited"/>
  </r>
  <r>
    <x v="29"/>
    <x v="2"/>
    <x v="29"/>
    <d v="2021-04-17T00:00:00"/>
    <x v="1"/>
    <x v="1"/>
    <x v="2"/>
    <n v="53"/>
    <n v="2.5"/>
    <x v="0"/>
    <s v="Nov"/>
    <n v="2021"/>
    <x v="1"/>
    <x v="2"/>
    <s v="Exited"/>
  </r>
  <r>
    <x v="30"/>
    <x v="5"/>
    <x v="30"/>
    <m/>
    <x v="0"/>
    <x v="0"/>
    <x v="1"/>
    <n v="35"/>
    <n v="5.5"/>
    <x v="2"/>
    <s v="Feb"/>
    <s v="Active"/>
    <x v="3"/>
    <x v="0"/>
    <s v="Active"/>
  </r>
  <r>
    <x v="31"/>
    <x v="0"/>
    <x v="31"/>
    <m/>
    <x v="0"/>
    <x v="0"/>
    <x v="1"/>
    <n v="32"/>
    <n v="2"/>
    <x v="6"/>
    <s v="Aug"/>
    <s v="Active"/>
    <x v="3"/>
    <x v="2"/>
    <s v="Active"/>
  </r>
  <r>
    <x v="32"/>
    <x v="5"/>
    <x v="32"/>
    <m/>
    <x v="0"/>
    <x v="0"/>
    <x v="0"/>
    <n v="46"/>
    <n v="5.0999999999999996"/>
    <x v="2"/>
    <s v="Jun"/>
    <s v="Active"/>
    <x v="2"/>
    <x v="0"/>
    <s v="Active"/>
  </r>
  <r>
    <x v="33"/>
    <x v="0"/>
    <x v="33"/>
    <m/>
    <x v="0"/>
    <x v="0"/>
    <x v="1"/>
    <n v="50"/>
    <n v="5.8999999999999995"/>
    <x v="1"/>
    <s v="Sep"/>
    <s v="Active"/>
    <x v="1"/>
    <x v="0"/>
    <s v="Active"/>
  </r>
  <r>
    <x v="34"/>
    <x v="2"/>
    <x v="34"/>
    <d v="2022-09-21T00:00:00"/>
    <x v="2"/>
    <x v="1"/>
    <x v="1"/>
    <n v="32"/>
    <n v="4"/>
    <x v="0"/>
    <s v="Sep"/>
    <n v="2022"/>
    <x v="3"/>
    <x v="1"/>
    <s v="Exited"/>
  </r>
  <r>
    <x v="35"/>
    <x v="2"/>
    <x v="35"/>
    <m/>
    <x v="0"/>
    <x v="0"/>
    <x v="2"/>
    <n v="29"/>
    <n v="8.1"/>
    <x v="0"/>
    <s v="Aug"/>
    <s v="Active"/>
    <x v="0"/>
    <x v="0"/>
    <s v="Active"/>
  </r>
  <r>
    <x v="36"/>
    <x v="2"/>
    <x v="36"/>
    <d v="2024-12-02T00:00:00"/>
    <x v="1"/>
    <x v="1"/>
    <x v="2"/>
    <n v="27"/>
    <n v="3.4"/>
    <x v="2"/>
    <s v="Aug"/>
    <n v="2024"/>
    <x v="0"/>
    <x v="1"/>
    <s v="Exited"/>
  </r>
  <r>
    <x v="37"/>
    <x v="4"/>
    <x v="37"/>
    <d v="2023-05-30T00:00:00"/>
    <x v="4"/>
    <x v="1"/>
    <x v="0"/>
    <n v="31"/>
    <n v="2.1"/>
    <x v="2"/>
    <s v="May"/>
    <n v="2023"/>
    <x v="3"/>
    <x v="2"/>
    <s v="Exited"/>
  </r>
  <r>
    <x v="38"/>
    <x v="0"/>
    <x v="38"/>
    <d v="2022-12-28T00:00:00"/>
    <x v="3"/>
    <x v="1"/>
    <x v="2"/>
    <n v="24"/>
    <n v="3.9"/>
    <x v="4"/>
    <s v="Feb"/>
    <n v="2022"/>
    <x v="0"/>
    <x v="1"/>
    <s v="Exited"/>
  </r>
  <r>
    <x v="39"/>
    <x v="5"/>
    <x v="39"/>
    <m/>
    <x v="0"/>
    <x v="0"/>
    <x v="2"/>
    <n v="37"/>
    <n v="5.6999999999999993"/>
    <x v="1"/>
    <s v="Dec"/>
    <s v="Active"/>
    <x v="3"/>
    <x v="0"/>
    <s v="Active"/>
  </r>
  <r>
    <x v="40"/>
    <x v="4"/>
    <x v="40"/>
    <m/>
    <x v="0"/>
    <x v="0"/>
    <x v="0"/>
    <n v="23"/>
    <n v="5.8999999999999995"/>
    <x v="1"/>
    <s v="Sep"/>
    <s v="Active"/>
    <x v="0"/>
    <x v="0"/>
    <s v="Active"/>
  </r>
  <r>
    <x v="41"/>
    <x v="4"/>
    <x v="41"/>
    <m/>
    <x v="0"/>
    <x v="0"/>
    <x v="1"/>
    <n v="31"/>
    <n v="1.7000000000000002"/>
    <x v="6"/>
    <s v="Dec"/>
    <s v="Active"/>
    <x v="3"/>
    <x v="2"/>
    <s v="Active"/>
  </r>
  <r>
    <x v="42"/>
    <x v="5"/>
    <x v="42"/>
    <m/>
    <x v="0"/>
    <x v="0"/>
    <x v="2"/>
    <n v="52"/>
    <n v="2.6"/>
    <x v="6"/>
    <s v="Jan"/>
    <s v="Active"/>
    <x v="1"/>
    <x v="2"/>
    <s v="Active"/>
  </r>
  <r>
    <x v="43"/>
    <x v="2"/>
    <x v="43"/>
    <m/>
    <x v="0"/>
    <x v="0"/>
    <x v="2"/>
    <n v="25"/>
    <n v="4.5999999999999996"/>
    <x v="5"/>
    <s v="Jan"/>
    <s v="Active"/>
    <x v="0"/>
    <x v="1"/>
    <s v="Active"/>
  </r>
  <r>
    <x v="44"/>
    <x v="1"/>
    <x v="44"/>
    <m/>
    <x v="0"/>
    <x v="0"/>
    <x v="0"/>
    <n v="46"/>
    <n v="2.8000000000000003"/>
    <x v="3"/>
    <s v="Oct"/>
    <s v="Active"/>
    <x v="2"/>
    <x v="2"/>
    <s v="Active"/>
  </r>
  <r>
    <x v="45"/>
    <x v="1"/>
    <x v="45"/>
    <d v="2021-02-01T00:00:00"/>
    <x v="5"/>
    <x v="1"/>
    <x v="2"/>
    <n v="24"/>
    <n v="1.7000000000000002"/>
    <x v="4"/>
    <s v="Jun"/>
    <n v="2021"/>
    <x v="0"/>
    <x v="2"/>
    <s v="Exited"/>
  </r>
  <r>
    <x v="46"/>
    <x v="1"/>
    <x v="46"/>
    <d v="2024-08-25T00:00:00"/>
    <x v="5"/>
    <x v="1"/>
    <x v="2"/>
    <n v="38"/>
    <n v="2.8000000000000003"/>
    <x v="2"/>
    <s v="Nov"/>
    <n v="2024"/>
    <x v="3"/>
    <x v="2"/>
    <s v="Exited"/>
  </r>
  <r>
    <x v="47"/>
    <x v="3"/>
    <x v="47"/>
    <m/>
    <x v="0"/>
    <x v="0"/>
    <x v="1"/>
    <n v="49"/>
    <n v="7"/>
    <x v="4"/>
    <s v="Aug"/>
    <s v="Active"/>
    <x v="2"/>
    <x v="0"/>
    <s v="Active"/>
  </r>
  <r>
    <x v="48"/>
    <x v="4"/>
    <x v="48"/>
    <m/>
    <x v="0"/>
    <x v="0"/>
    <x v="1"/>
    <n v="31"/>
    <n v="2"/>
    <x v="6"/>
    <s v="Sep"/>
    <s v="Active"/>
    <x v="3"/>
    <x v="2"/>
    <s v="Active"/>
  </r>
  <r>
    <x v="49"/>
    <x v="0"/>
    <x v="49"/>
    <d v="2022-05-01T00:00:00"/>
    <x v="4"/>
    <x v="1"/>
    <x v="2"/>
    <n v="51"/>
    <n v="3.8000000000000003"/>
    <x v="0"/>
    <s v="Jul"/>
    <n v="2022"/>
    <x v="1"/>
    <x v="1"/>
    <s v="Exited"/>
  </r>
  <r>
    <x v="50"/>
    <x v="0"/>
    <x v="0"/>
    <m/>
    <x v="0"/>
    <x v="0"/>
    <x v="0"/>
    <n v="27"/>
    <n v="7.8"/>
    <x v="0"/>
    <s v="Nov"/>
    <s v="Active"/>
    <x v="0"/>
    <x v="0"/>
    <s v="Active"/>
  </r>
  <r>
    <x v="51"/>
    <x v="1"/>
    <x v="1"/>
    <m/>
    <x v="0"/>
    <x v="0"/>
    <x v="0"/>
    <n v="22"/>
    <n v="5.8"/>
    <x v="1"/>
    <s v="Oct"/>
    <s v="Active"/>
    <x v="0"/>
    <x v="0"/>
    <s v="Active"/>
  </r>
  <r>
    <x v="52"/>
    <x v="1"/>
    <x v="2"/>
    <m/>
    <x v="0"/>
    <x v="0"/>
    <x v="1"/>
    <n v="50"/>
    <n v="5"/>
    <x v="2"/>
    <s v="Aug"/>
    <s v="Active"/>
    <x v="1"/>
    <x v="0"/>
    <s v="Active"/>
  </r>
  <r>
    <x v="53"/>
    <x v="1"/>
    <x v="3"/>
    <m/>
    <x v="0"/>
    <x v="0"/>
    <x v="1"/>
    <n v="24"/>
    <n v="3.2"/>
    <x v="3"/>
    <s v="Jun"/>
    <s v="Active"/>
    <x v="0"/>
    <x v="1"/>
    <s v="Active"/>
  </r>
  <r>
    <x v="54"/>
    <x v="1"/>
    <x v="4"/>
    <d v="2021-09-10T00:00:00"/>
    <x v="1"/>
    <x v="1"/>
    <x v="0"/>
    <n v="50"/>
    <n v="2.7"/>
    <x v="4"/>
    <s v="Jan"/>
    <n v="2021"/>
    <x v="1"/>
    <x v="2"/>
    <s v="Exited"/>
  </r>
  <r>
    <x v="55"/>
    <x v="2"/>
    <x v="5"/>
    <d v="2023-02-15T00:00:00"/>
    <x v="2"/>
    <x v="1"/>
    <x v="0"/>
    <n v="28"/>
    <n v="0.7"/>
    <x v="5"/>
    <s v="Jul"/>
    <n v="2023"/>
    <x v="0"/>
    <x v="3"/>
    <s v="Exited"/>
  </r>
  <r>
    <x v="56"/>
    <x v="3"/>
    <x v="6"/>
    <m/>
    <x v="0"/>
    <x v="0"/>
    <x v="0"/>
    <n v="40"/>
    <n v="2.2000000000000002"/>
    <x v="6"/>
    <s v="Jun"/>
    <s v="Active"/>
    <x v="2"/>
    <x v="2"/>
    <s v="Active"/>
  </r>
  <r>
    <x v="57"/>
    <x v="0"/>
    <x v="7"/>
    <m/>
    <x v="0"/>
    <x v="0"/>
    <x v="2"/>
    <n v="32"/>
    <n v="8.1"/>
    <x v="0"/>
    <s v="Jul"/>
    <s v="Active"/>
    <x v="3"/>
    <x v="0"/>
    <s v="Active"/>
  </r>
  <r>
    <x v="58"/>
    <x v="1"/>
    <x v="8"/>
    <m/>
    <x v="0"/>
    <x v="0"/>
    <x v="2"/>
    <n v="50"/>
    <n v="3.5"/>
    <x v="3"/>
    <s v="Mar"/>
    <s v="Active"/>
    <x v="1"/>
    <x v="1"/>
    <s v="Active"/>
  </r>
  <r>
    <x v="59"/>
    <x v="4"/>
    <x v="9"/>
    <m/>
    <x v="0"/>
    <x v="0"/>
    <x v="0"/>
    <n v="24"/>
    <n v="2.5"/>
    <x v="6"/>
    <s v="Feb"/>
    <s v="Active"/>
    <x v="0"/>
    <x v="2"/>
    <s v="Active"/>
  </r>
  <r>
    <x v="60"/>
    <x v="5"/>
    <x v="10"/>
    <m/>
    <x v="0"/>
    <x v="0"/>
    <x v="1"/>
    <n v="36"/>
    <n v="2.1"/>
    <x v="6"/>
    <s v="Jul"/>
    <s v="Active"/>
    <x v="3"/>
    <x v="2"/>
    <s v="Active"/>
  </r>
  <r>
    <x v="61"/>
    <x v="3"/>
    <x v="11"/>
    <d v="2024-01-31T00:00:00"/>
    <x v="2"/>
    <x v="1"/>
    <x v="2"/>
    <n v="49"/>
    <n v="3"/>
    <x v="2"/>
    <s v="Jan"/>
    <n v="2024"/>
    <x v="2"/>
    <x v="1"/>
    <s v="Exited"/>
  </r>
  <r>
    <x v="62"/>
    <x v="0"/>
    <x v="12"/>
    <d v="2020-04-15T00:00:00"/>
    <x v="3"/>
    <x v="1"/>
    <x v="1"/>
    <n v="43"/>
    <n v="1.4000000000000001"/>
    <x v="0"/>
    <s v="Dec"/>
    <n v="2020"/>
    <x v="2"/>
    <x v="2"/>
    <s v="Exited"/>
  </r>
  <r>
    <x v="63"/>
    <x v="1"/>
    <x v="13"/>
    <m/>
    <x v="0"/>
    <x v="0"/>
    <x v="1"/>
    <n v="40"/>
    <n v="2.6"/>
    <x v="6"/>
    <s v="Jan"/>
    <s v="Active"/>
    <x v="2"/>
    <x v="2"/>
    <s v="Active"/>
  </r>
  <r>
    <x v="64"/>
    <x v="1"/>
    <x v="14"/>
    <m/>
    <x v="0"/>
    <x v="0"/>
    <x v="2"/>
    <n v="42"/>
    <n v="8.6"/>
    <x v="0"/>
    <s v="Jan"/>
    <s v="Active"/>
    <x v="2"/>
    <x v="0"/>
    <s v="Active"/>
  </r>
  <r>
    <x v="65"/>
    <x v="0"/>
    <x v="15"/>
    <d v="2022-04-26T00:00:00"/>
    <x v="4"/>
    <x v="1"/>
    <x v="2"/>
    <n v="35"/>
    <n v="2.7"/>
    <x v="4"/>
    <s v="Sep"/>
    <n v="2022"/>
    <x v="3"/>
    <x v="2"/>
    <s v="Exited"/>
  </r>
  <r>
    <x v="66"/>
    <x v="3"/>
    <x v="16"/>
    <d v="2020-10-13T00:00:00"/>
    <x v="3"/>
    <x v="1"/>
    <x v="0"/>
    <n v="31"/>
    <n v="1.6"/>
    <x v="4"/>
    <s v="Mar"/>
    <n v="2020"/>
    <x v="3"/>
    <x v="2"/>
    <s v="Exited"/>
  </r>
  <r>
    <x v="67"/>
    <x v="5"/>
    <x v="17"/>
    <m/>
    <x v="0"/>
    <x v="0"/>
    <x v="2"/>
    <n v="51"/>
    <n v="4.5"/>
    <x v="5"/>
    <s v="Feb"/>
    <s v="Active"/>
    <x v="1"/>
    <x v="1"/>
    <s v="Active"/>
  </r>
  <r>
    <x v="68"/>
    <x v="0"/>
    <x v="18"/>
    <m/>
    <x v="0"/>
    <x v="0"/>
    <x v="2"/>
    <n v="48"/>
    <n v="2.1"/>
    <x v="6"/>
    <s v="Jul"/>
    <s v="Active"/>
    <x v="2"/>
    <x v="2"/>
    <s v="Active"/>
  </r>
  <r>
    <x v="69"/>
    <x v="3"/>
    <x v="19"/>
    <d v="2022-12-01T00:00:00"/>
    <x v="5"/>
    <x v="1"/>
    <x v="0"/>
    <n v="41"/>
    <n v="3.6"/>
    <x v="4"/>
    <s v="May"/>
    <n v="2022"/>
    <x v="2"/>
    <x v="1"/>
    <s v="Exited"/>
  </r>
  <r>
    <x v="70"/>
    <x v="5"/>
    <x v="20"/>
    <d v="2024-04-10T00:00:00"/>
    <x v="2"/>
    <x v="1"/>
    <x v="2"/>
    <n v="35"/>
    <n v="3.2"/>
    <x v="2"/>
    <s v="Feb"/>
    <n v="2024"/>
    <x v="3"/>
    <x v="1"/>
    <s v="Exited"/>
  </r>
  <r>
    <x v="71"/>
    <x v="2"/>
    <x v="21"/>
    <d v="2024-06-03T00:00:00"/>
    <x v="4"/>
    <x v="1"/>
    <x v="2"/>
    <n v="24"/>
    <n v="0.6"/>
    <x v="3"/>
    <s v="Nov"/>
    <n v="2024"/>
    <x v="0"/>
    <x v="3"/>
    <s v="Exited"/>
  </r>
  <r>
    <x v="72"/>
    <x v="1"/>
    <x v="22"/>
    <m/>
    <x v="0"/>
    <x v="0"/>
    <x v="2"/>
    <n v="41"/>
    <n v="2.7"/>
    <x v="3"/>
    <s v="Nov"/>
    <s v="Active"/>
    <x v="2"/>
    <x v="2"/>
    <s v="Active"/>
  </r>
  <r>
    <x v="73"/>
    <x v="2"/>
    <x v="23"/>
    <m/>
    <x v="0"/>
    <x v="0"/>
    <x v="2"/>
    <n v="40"/>
    <n v="2.2000000000000002"/>
    <x v="6"/>
    <s v="Jun"/>
    <s v="Active"/>
    <x v="2"/>
    <x v="2"/>
    <s v="Active"/>
  </r>
  <r>
    <x v="74"/>
    <x v="0"/>
    <x v="24"/>
    <m/>
    <x v="0"/>
    <x v="0"/>
    <x v="0"/>
    <n v="48"/>
    <n v="7.3"/>
    <x v="4"/>
    <s v="May"/>
    <s v="Active"/>
    <x v="2"/>
    <x v="0"/>
    <s v="Active"/>
  </r>
  <r>
    <x v="75"/>
    <x v="1"/>
    <x v="25"/>
    <m/>
    <x v="0"/>
    <x v="0"/>
    <x v="0"/>
    <n v="52"/>
    <n v="3.8000000000000003"/>
    <x v="5"/>
    <s v="Nov"/>
    <s v="Active"/>
    <x v="1"/>
    <x v="1"/>
    <s v="Active"/>
  </r>
  <r>
    <x v="76"/>
    <x v="4"/>
    <x v="26"/>
    <d v="2021-09-24T00:00:00"/>
    <x v="6"/>
    <x v="1"/>
    <x v="2"/>
    <n v="33"/>
    <n v="1.3"/>
    <x v="1"/>
    <s v="Jun"/>
    <n v="2021"/>
    <x v="3"/>
    <x v="2"/>
    <s v="Exited"/>
  </r>
  <r>
    <x v="77"/>
    <x v="2"/>
    <x v="27"/>
    <m/>
    <x v="0"/>
    <x v="0"/>
    <x v="1"/>
    <n v="51"/>
    <n v="3.2"/>
    <x v="3"/>
    <s v="Jun"/>
    <s v="Active"/>
    <x v="1"/>
    <x v="1"/>
    <s v="Active"/>
  </r>
  <r>
    <x v="78"/>
    <x v="0"/>
    <x v="28"/>
    <d v="2022-07-13T00:00:00"/>
    <x v="3"/>
    <x v="1"/>
    <x v="1"/>
    <n v="46"/>
    <n v="1.1000000000000001"/>
    <x v="2"/>
    <s v="Jun"/>
    <n v="2022"/>
    <x v="2"/>
    <x v="2"/>
    <s v="Exited"/>
  </r>
  <r>
    <x v="79"/>
    <x v="2"/>
    <x v="29"/>
    <d v="2021-04-17T00:00:00"/>
    <x v="1"/>
    <x v="1"/>
    <x v="2"/>
    <n v="53"/>
    <n v="2.5"/>
    <x v="0"/>
    <s v="Nov"/>
    <n v="2021"/>
    <x v="1"/>
    <x v="2"/>
    <s v="Exited"/>
  </r>
  <r>
    <x v="80"/>
    <x v="5"/>
    <x v="30"/>
    <m/>
    <x v="0"/>
    <x v="0"/>
    <x v="1"/>
    <n v="35"/>
    <n v="5.5"/>
    <x v="2"/>
    <s v="Feb"/>
    <s v="Active"/>
    <x v="3"/>
    <x v="0"/>
    <s v="Active"/>
  </r>
  <r>
    <x v="81"/>
    <x v="0"/>
    <x v="31"/>
    <m/>
    <x v="0"/>
    <x v="0"/>
    <x v="1"/>
    <n v="32"/>
    <n v="2"/>
    <x v="6"/>
    <s v="Aug"/>
    <s v="Active"/>
    <x v="3"/>
    <x v="2"/>
    <s v="Active"/>
  </r>
  <r>
    <x v="82"/>
    <x v="5"/>
    <x v="32"/>
    <m/>
    <x v="0"/>
    <x v="0"/>
    <x v="0"/>
    <n v="46"/>
    <n v="5.0999999999999996"/>
    <x v="2"/>
    <s v="Jun"/>
    <s v="Active"/>
    <x v="2"/>
    <x v="0"/>
    <s v="Active"/>
  </r>
  <r>
    <x v="83"/>
    <x v="0"/>
    <x v="33"/>
    <m/>
    <x v="0"/>
    <x v="0"/>
    <x v="1"/>
    <n v="50"/>
    <n v="5.8999999999999995"/>
    <x v="1"/>
    <s v="Sep"/>
    <s v="Active"/>
    <x v="1"/>
    <x v="0"/>
    <s v="Active"/>
  </r>
  <r>
    <x v="84"/>
    <x v="2"/>
    <x v="34"/>
    <d v="2022-09-21T00:00:00"/>
    <x v="2"/>
    <x v="1"/>
    <x v="1"/>
    <n v="32"/>
    <n v="4"/>
    <x v="0"/>
    <s v="Sep"/>
    <n v="2022"/>
    <x v="3"/>
    <x v="1"/>
    <s v="Exited"/>
  </r>
  <r>
    <x v="85"/>
    <x v="2"/>
    <x v="35"/>
    <m/>
    <x v="0"/>
    <x v="0"/>
    <x v="2"/>
    <n v="29"/>
    <n v="8.1"/>
    <x v="0"/>
    <s v="Aug"/>
    <s v="Active"/>
    <x v="0"/>
    <x v="0"/>
    <s v="Active"/>
  </r>
  <r>
    <x v="86"/>
    <x v="2"/>
    <x v="36"/>
    <d v="2024-12-02T00:00:00"/>
    <x v="1"/>
    <x v="1"/>
    <x v="2"/>
    <n v="27"/>
    <n v="3.4"/>
    <x v="2"/>
    <s v="Aug"/>
    <n v="2024"/>
    <x v="0"/>
    <x v="1"/>
    <s v="Exited"/>
  </r>
  <r>
    <x v="87"/>
    <x v="4"/>
    <x v="37"/>
    <d v="2023-05-30T00:00:00"/>
    <x v="4"/>
    <x v="1"/>
    <x v="0"/>
    <n v="31"/>
    <n v="2.1"/>
    <x v="2"/>
    <s v="May"/>
    <n v="2023"/>
    <x v="3"/>
    <x v="2"/>
    <s v="Exited"/>
  </r>
  <r>
    <x v="88"/>
    <x v="0"/>
    <x v="38"/>
    <d v="2022-12-28T00:00:00"/>
    <x v="3"/>
    <x v="1"/>
    <x v="2"/>
    <n v="24"/>
    <n v="3.9"/>
    <x v="4"/>
    <s v="Feb"/>
    <n v="2022"/>
    <x v="0"/>
    <x v="1"/>
    <s v="Exited"/>
  </r>
  <r>
    <x v="89"/>
    <x v="5"/>
    <x v="39"/>
    <m/>
    <x v="0"/>
    <x v="0"/>
    <x v="2"/>
    <n v="37"/>
    <n v="5.6999999999999993"/>
    <x v="1"/>
    <s v="Dec"/>
    <s v="Active"/>
    <x v="3"/>
    <x v="0"/>
    <s v="Active"/>
  </r>
  <r>
    <x v="90"/>
    <x v="4"/>
    <x v="40"/>
    <m/>
    <x v="0"/>
    <x v="0"/>
    <x v="0"/>
    <n v="23"/>
    <n v="5.8999999999999995"/>
    <x v="1"/>
    <s v="Sep"/>
    <s v="Active"/>
    <x v="0"/>
    <x v="0"/>
    <s v="Active"/>
  </r>
  <r>
    <x v="91"/>
    <x v="4"/>
    <x v="41"/>
    <m/>
    <x v="0"/>
    <x v="0"/>
    <x v="1"/>
    <n v="31"/>
    <n v="1.7000000000000002"/>
    <x v="6"/>
    <s v="Dec"/>
    <s v="Active"/>
    <x v="3"/>
    <x v="2"/>
    <s v="Active"/>
  </r>
  <r>
    <x v="92"/>
    <x v="5"/>
    <x v="42"/>
    <m/>
    <x v="0"/>
    <x v="0"/>
    <x v="2"/>
    <n v="52"/>
    <n v="2.6"/>
    <x v="6"/>
    <s v="Jan"/>
    <s v="Active"/>
    <x v="1"/>
    <x v="2"/>
    <s v="Active"/>
  </r>
  <r>
    <x v="93"/>
    <x v="2"/>
    <x v="43"/>
    <m/>
    <x v="0"/>
    <x v="0"/>
    <x v="2"/>
    <n v="25"/>
    <n v="4.5999999999999996"/>
    <x v="5"/>
    <s v="Jan"/>
    <s v="Active"/>
    <x v="0"/>
    <x v="1"/>
    <s v="Active"/>
  </r>
  <r>
    <x v="94"/>
    <x v="1"/>
    <x v="44"/>
    <m/>
    <x v="0"/>
    <x v="0"/>
    <x v="0"/>
    <n v="46"/>
    <n v="2.8000000000000003"/>
    <x v="3"/>
    <s v="Oct"/>
    <s v="Active"/>
    <x v="2"/>
    <x v="2"/>
    <s v="Active"/>
  </r>
  <r>
    <x v="95"/>
    <x v="1"/>
    <x v="45"/>
    <d v="2021-02-01T00:00:00"/>
    <x v="5"/>
    <x v="1"/>
    <x v="2"/>
    <n v="24"/>
    <n v="1.7000000000000002"/>
    <x v="4"/>
    <s v="Jun"/>
    <n v="2021"/>
    <x v="0"/>
    <x v="2"/>
    <s v="Exited"/>
  </r>
  <r>
    <x v="96"/>
    <x v="1"/>
    <x v="46"/>
    <d v="2024-08-25T00:00:00"/>
    <x v="5"/>
    <x v="1"/>
    <x v="2"/>
    <n v="38"/>
    <n v="2.8000000000000003"/>
    <x v="2"/>
    <s v="Nov"/>
    <n v="2024"/>
    <x v="3"/>
    <x v="2"/>
    <s v="Exited"/>
  </r>
  <r>
    <x v="97"/>
    <x v="3"/>
    <x v="47"/>
    <m/>
    <x v="0"/>
    <x v="0"/>
    <x v="1"/>
    <n v="49"/>
    <n v="7"/>
    <x v="4"/>
    <s v="Aug"/>
    <s v="Active"/>
    <x v="2"/>
    <x v="0"/>
    <s v="Active"/>
  </r>
  <r>
    <x v="98"/>
    <x v="4"/>
    <x v="48"/>
    <m/>
    <x v="0"/>
    <x v="0"/>
    <x v="1"/>
    <n v="31"/>
    <n v="2"/>
    <x v="6"/>
    <s v="Sep"/>
    <s v="Active"/>
    <x v="3"/>
    <x v="2"/>
    <s v="Active"/>
  </r>
  <r>
    <x v="99"/>
    <x v="0"/>
    <x v="49"/>
    <d v="2022-05-01T00:00:00"/>
    <x v="4"/>
    <x v="1"/>
    <x v="2"/>
    <n v="51"/>
    <n v="3.8000000000000003"/>
    <x v="0"/>
    <s v="Jul"/>
    <n v="2022"/>
    <x v="1"/>
    <x v="1"/>
    <s v="Exi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ED37B-7101-448B-BB70-26AB6D8173D7}" name="PivotTable14"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Join Year">
  <location ref="I30:L39" firstHeaderRow="1" firstDataRow="2"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axis="axisCol" showAll="0">
      <items count="3">
        <item x="0"/>
        <item x="1"/>
        <item t="default"/>
      </items>
    </pivotField>
    <pivotField showAll="0">
      <items count="4">
        <item x="0"/>
        <item x="1"/>
        <item x="2"/>
        <item t="default"/>
      </items>
    </pivotField>
    <pivotField showAll="0"/>
    <pivotField showAll="0"/>
    <pivotField axis="axisRow"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9"/>
  </rowFields>
  <rowItems count="8">
    <i>
      <x/>
    </i>
    <i>
      <x v="1"/>
    </i>
    <i>
      <x v="2"/>
    </i>
    <i>
      <x v="3"/>
    </i>
    <i>
      <x v="4"/>
    </i>
    <i>
      <x v="5"/>
    </i>
    <i>
      <x v="6"/>
    </i>
    <i t="grand">
      <x/>
    </i>
  </rowItems>
  <colFields count="1">
    <field x="5"/>
  </colFields>
  <colItems count="3">
    <i>
      <x/>
    </i>
    <i>
      <x v="1"/>
    </i>
    <i t="grand">
      <x/>
    </i>
  </colItems>
  <dataFields count="1">
    <dataField name="Count of Employee ID" fld="0" subtotal="count" baseField="9" baseItem="0"/>
  </dataFields>
  <formats count="30">
    <format dxfId="3635">
      <pivotArea type="all" dataOnly="0" outline="0" fieldPosition="0"/>
    </format>
    <format dxfId="3634">
      <pivotArea outline="0" collapsedLevelsAreSubtotals="1" fieldPosition="0"/>
    </format>
    <format dxfId="3633">
      <pivotArea type="origin" dataOnly="0" labelOnly="1" outline="0" fieldPosition="0"/>
    </format>
    <format dxfId="3632">
      <pivotArea field="5" type="button" dataOnly="0" labelOnly="1" outline="0" axis="axisCol" fieldPosition="0"/>
    </format>
    <format dxfId="3631">
      <pivotArea type="topRight" dataOnly="0" labelOnly="1" outline="0" fieldPosition="0"/>
    </format>
    <format dxfId="3630">
      <pivotArea field="9" type="button" dataOnly="0" labelOnly="1" outline="0" axis="axisRow" fieldPosition="0"/>
    </format>
    <format dxfId="3629">
      <pivotArea dataOnly="0" labelOnly="1" fieldPosition="0">
        <references count="1">
          <reference field="9" count="0"/>
        </references>
      </pivotArea>
    </format>
    <format dxfId="3628">
      <pivotArea dataOnly="0" labelOnly="1" grandRow="1" outline="0" fieldPosition="0"/>
    </format>
    <format dxfId="3627">
      <pivotArea dataOnly="0" labelOnly="1" fieldPosition="0">
        <references count="1">
          <reference field="5" count="0"/>
        </references>
      </pivotArea>
    </format>
    <format dxfId="3626">
      <pivotArea dataOnly="0" labelOnly="1" grandCol="1" outline="0" fieldPosition="0"/>
    </format>
    <format dxfId="3625">
      <pivotArea type="all" dataOnly="0" outline="0" fieldPosition="0"/>
    </format>
    <format dxfId="3624">
      <pivotArea outline="0" collapsedLevelsAreSubtotals="1" fieldPosition="0"/>
    </format>
    <format dxfId="3623">
      <pivotArea type="origin" dataOnly="0" labelOnly="1" outline="0" fieldPosition="0"/>
    </format>
    <format dxfId="3622">
      <pivotArea field="5" type="button" dataOnly="0" labelOnly="1" outline="0" axis="axisCol" fieldPosition="0"/>
    </format>
    <format dxfId="3621">
      <pivotArea type="topRight" dataOnly="0" labelOnly="1" outline="0" fieldPosition="0"/>
    </format>
    <format dxfId="3620">
      <pivotArea field="9" type="button" dataOnly="0" labelOnly="1" outline="0" axis="axisRow" fieldPosition="0"/>
    </format>
    <format dxfId="3619">
      <pivotArea dataOnly="0" labelOnly="1" fieldPosition="0">
        <references count="1">
          <reference field="9" count="0"/>
        </references>
      </pivotArea>
    </format>
    <format dxfId="3618">
      <pivotArea dataOnly="0" labelOnly="1" grandRow="1" outline="0" fieldPosition="0"/>
    </format>
    <format dxfId="3617">
      <pivotArea dataOnly="0" labelOnly="1" fieldPosition="0">
        <references count="1">
          <reference field="5" count="0"/>
        </references>
      </pivotArea>
    </format>
    <format dxfId="3616">
      <pivotArea dataOnly="0" labelOnly="1" grandCol="1" outline="0" fieldPosition="0"/>
    </format>
    <format dxfId="3615">
      <pivotArea type="all" dataOnly="0" outline="0" fieldPosition="0"/>
    </format>
    <format dxfId="3614">
      <pivotArea outline="0" collapsedLevelsAreSubtotals="1" fieldPosition="0"/>
    </format>
    <format dxfId="3613">
      <pivotArea type="origin" dataOnly="0" labelOnly="1" outline="0" fieldPosition="0"/>
    </format>
    <format dxfId="3612">
      <pivotArea field="5" type="button" dataOnly="0" labelOnly="1" outline="0" axis="axisCol" fieldPosition="0"/>
    </format>
    <format dxfId="3611">
      <pivotArea type="topRight" dataOnly="0" labelOnly="1" outline="0" fieldPosition="0"/>
    </format>
    <format dxfId="3610">
      <pivotArea field="9" type="button" dataOnly="0" labelOnly="1" outline="0" axis="axisRow" fieldPosition="0"/>
    </format>
    <format dxfId="3609">
      <pivotArea dataOnly="0" labelOnly="1" fieldPosition="0">
        <references count="1">
          <reference field="9" count="0"/>
        </references>
      </pivotArea>
    </format>
    <format dxfId="3608">
      <pivotArea dataOnly="0" labelOnly="1" grandRow="1" outline="0" fieldPosition="0"/>
    </format>
    <format dxfId="3607">
      <pivotArea dataOnly="0" labelOnly="1" fieldPosition="0">
        <references count="1">
          <reference field="5" count="0"/>
        </references>
      </pivotArea>
    </format>
    <format dxfId="3606">
      <pivotArea dataOnly="0" labelOnly="1" grandCol="1" outline="0" fieldPosition="0"/>
    </format>
  </formats>
  <chartFormats count="3">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3">
          <reference field="4294967294" count="1" selected="0">
            <x v="0"/>
          </reference>
          <reference field="5"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B28F55-53AE-46BB-BF7B-D0E00C655EE1}" name="PivotTable13"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30:G39" firstHeaderRow="1" firstDataRow="2" firstDataCol="1"/>
  <pivotFields count="18">
    <pivotField dataField="1" showAll="0"/>
    <pivotField showAll="0">
      <items count="7">
        <item x="1"/>
        <item x="3"/>
        <item x="5"/>
        <item x="0"/>
        <item x="2"/>
        <item x="4"/>
        <item t="default"/>
      </items>
    </pivotField>
    <pivotField axis="axisRow"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axis="axisCol"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7"/>
    <field x="16"/>
    <field x="15"/>
    <field x="2"/>
  </rowFields>
  <rowItems count="8">
    <i>
      <x v="1"/>
    </i>
    <i>
      <x v="2"/>
    </i>
    <i>
      <x v="3"/>
    </i>
    <i>
      <x v="4"/>
    </i>
    <i>
      <x v="5"/>
    </i>
    <i>
      <x v="6"/>
    </i>
    <i>
      <x v="7"/>
    </i>
    <i t="grand">
      <x/>
    </i>
  </rowItems>
  <colFields count="1">
    <field x="5"/>
  </colFields>
  <colItems count="3">
    <i>
      <x/>
    </i>
    <i>
      <x v="1"/>
    </i>
    <i t="grand">
      <x/>
    </i>
  </colItems>
  <dataFields count="1">
    <dataField name="Count of Employee ID" fld="0" subtotal="count" baseField="17" baseItem="1"/>
  </dataFields>
  <formats count="30">
    <format dxfId="3737">
      <pivotArea type="all" dataOnly="0" outline="0" fieldPosition="0"/>
    </format>
    <format dxfId="3738">
      <pivotArea outline="0" collapsedLevelsAreSubtotals="1" fieldPosition="0"/>
    </format>
    <format dxfId="3739">
      <pivotArea type="origin" dataOnly="0" labelOnly="1" outline="0" fieldPosition="0"/>
    </format>
    <format dxfId="3740">
      <pivotArea field="5" type="button" dataOnly="0" labelOnly="1" outline="0" axis="axisCol" fieldPosition="0"/>
    </format>
    <format dxfId="3741">
      <pivotArea type="topRight" dataOnly="0" labelOnly="1" outline="0" fieldPosition="0"/>
    </format>
    <format dxfId="3742">
      <pivotArea field="17" type="button" dataOnly="0" labelOnly="1" outline="0" axis="axisRow" fieldPosition="0"/>
    </format>
    <format dxfId="3743">
      <pivotArea dataOnly="0" labelOnly="1" fieldPosition="0">
        <references count="1">
          <reference field="17" count="7">
            <x v="1"/>
            <x v="2"/>
            <x v="3"/>
            <x v="4"/>
            <x v="5"/>
            <x v="6"/>
            <x v="7"/>
          </reference>
        </references>
      </pivotArea>
    </format>
    <format dxfId="3744">
      <pivotArea dataOnly="0" labelOnly="1" grandRow="1" outline="0" fieldPosition="0"/>
    </format>
    <format dxfId="3745">
      <pivotArea dataOnly="0" labelOnly="1" fieldPosition="0">
        <references count="1">
          <reference field="5" count="0"/>
        </references>
      </pivotArea>
    </format>
    <format dxfId="3746">
      <pivotArea dataOnly="0" labelOnly="1" grandCol="1" outline="0" fieldPosition="0"/>
    </format>
    <format dxfId="3747">
      <pivotArea type="all" dataOnly="0" outline="0" fieldPosition="0"/>
    </format>
    <format dxfId="3748">
      <pivotArea outline="0" collapsedLevelsAreSubtotals="1" fieldPosition="0"/>
    </format>
    <format dxfId="3749">
      <pivotArea type="origin" dataOnly="0" labelOnly="1" outline="0" fieldPosition="0"/>
    </format>
    <format dxfId="3750">
      <pivotArea field="5" type="button" dataOnly="0" labelOnly="1" outline="0" axis="axisCol" fieldPosition="0"/>
    </format>
    <format dxfId="3751">
      <pivotArea type="topRight" dataOnly="0" labelOnly="1" outline="0" fieldPosition="0"/>
    </format>
    <format dxfId="3752">
      <pivotArea field="17" type="button" dataOnly="0" labelOnly="1" outline="0" axis="axisRow" fieldPosition="0"/>
    </format>
    <format dxfId="3753">
      <pivotArea dataOnly="0" labelOnly="1" fieldPosition="0">
        <references count="1">
          <reference field="17" count="7">
            <x v="1"/>
            <x v="2"/>
            <x v="3"/>
            <x v="4"/>
            <x v="5"/>
            <x v="6"/>
            <x v="7"/>
          </reference>
        </references>
      </pivotArea>
    </format>
    <format dxfId="3754">
      <pivotArea dataOnly="0" labelOnly="1" grandRow="1" outline="0" fieldPosition="0"/>
    </format>
    <format dxfId="3755">
      <pivotArea dataOnly="0" labelOnly="1" fieldPosition="0">
        <references count="1">
          <reference field="5" count="0"/>
        </references>
      </pivotArea>
    </format>
    <format dxfId="3756">
      <pivotArea dataOnly="0" labelOnly="1" grandCol="1" outline="0" fieldPosition="0"/>
    </format>
    <format dxfId="3757">
      <pivotArea type="all" dataOnly="0" outline="0" fieldPosition="0"/>
    </format>
    <format dxfId="3758">
      <pivotArea outline="0" collapsedLevelsAreSubtotals="1" fieldPosition="0"/>
    </format>
    <format dxfId="3759">
      <pivotArea type="origin" dataOnly="0" labelOnly="1" outline="0" fieldPosition="0"/>
    </format>
    <format dxfId="3760">
      <pivotArea field="5" type="button" dataOnly="0" labelOnly="1" outline="0" axis="axisCol" fieldPosition="0"/>
    </format>
    <format dxfId="3761">
      <pivotArea type="topRight" dataOnly="0" labelOnly="1" outline="0" fieldPosition="0"/>
    </format>
    <format dxfId="3762">
      <pivotArea field="17" type="button" dataOnly="0" labelOnly="1" outline="0" axis="axisRow" fieldPosition="0"/>
    </format>
    <format dxfId="3763">
      <pivotArea dataOnly="0" labelOnly="1" fieldPosition="0">
        <references count="1">
          <reference field="17" count="7">
            <x v="1"/>
            <x v="2"/>
            <x v="3"/>
            <x v="4"/>
            <x v="5"/>
            <x v="6"/>
            <x v="7"/>
          </reference>
        </references>
      </pivotArea>
    </format>
    <format dxfId="3764">
      <pivotArea dataOnly="0" labelOnly="1" grandRow="1" outline="0" fieldPosition="0"/>
    </format>
    <format dxfId="3765">
      <pivotArea dataOnly="0" labelOnly="1" fieldPosition="0">
        <references count="1">
          <reference field="5" count="0"/>
        </references>
      </pivotArea>
    </format>
    <format dxfId="3766">
      <pivotArea dataOnly="0" labelOnly="1" grandCol="1" outline="0" fieldPosition="0"/>
    </format>
  </formats>
  <chartFormats count="2">
    <chartFormat chart="2" format="2" series="1">
      <pivotArea type="data" outline="0" fieldPosition="0">
        <references count="2">
          <reference field="4294967294" count="1" selected="0">
            <x v="0"/>
          </reference>
          <reference field="5" count="1" selected="0">
            <x v="0"/>
          </reference>
        </references>
      </pivotArea>
    </chartFormat>
    <chartFormat chart="2"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6631A-F713-4FB4-93E5-1283242CD61A}" name="PivotTable12"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J23:K28"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axis="axisRow"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Items count="1">
    <i/>
  </colItems>
  <dataFields count="1">
    <dataField name="Count of Employee ID" fld="0" subtotal="count" baseField="13" baseItem="0"/>
  </dataFields>
  <formats count="18">
    <format dxfId="3767">
      <pivotArea type="all" dataOnly="0" outline="0" fieldPosition="0"/>
    </format>
    <format dxfId="3768">
      <pivotArea outline="0" collapsedLevelsAreSubtotals="1" fieldPosition="0"/>
    </format>
    <format dxfId="3769">
      <pivotArea field="13" type="button" dataOnly="0" labelOnly="1" outline="0" axis="axisRow" fieldPosition="0"/>
    </format>
    <format dxfId="3770">
      <pivotArea dataOnly="0" labelOnly="1" fieldPosition="0">
        <references count="1">
          <reference field="13" count="0"/>
        </references>
      </pivotArea>
    </format>
    <format dxfId="3771">
      <pivotArea dataOnly="0" labelOnly="1" grandRow="1" outline="0" fieldPosition="0"/>
    </format>
    <format dxfId="3772">
      <pivotArea dataOnly="0" labelOnly="1" outline="0" axis="axisValues" fieldPosition="0"/>
    </format>
    <format dxfId="3773">
      <pivotArea type="all" dataOnly="0" outline="0" fieldPosition="0"/>
    </format>
    <format dxfId="3774">
      <pivotArea outline="0" collapsedLevelsAreSubtotals="1" fieldPosition="0"/>
    </format>
    <format dxfId="3775">
      <pivotArea field="13" type="button" dataOnly="0" labelOnly="1" outline="0" axis="axisRow" fieldPosition="0"/>
    </format>
    <format dxfId="3776">
      <pivotArea dataOnly="0" labelOnly="1" fieldPosition="0">
        <references count="1">
          <reference field="13" count="0"/>
        </references>
      </pivotArea>
    </format>
    <format dxfId="3777">
      <pivotArea dataOnly="0" labelOnly="1" grandRow="1" outline="0" fieldPosition="0"/>
    </format>
    <format dxfId="3778">
      <pivotArea dataOnly="0" labelOnly="1" outline="0" axis="axisValues" fieldPosition="0"/>
    </format>
    <format dxfId="3779">
      <pivotArea type="all" dataOnly="0" outline="0" fieldPosition="0"/>
    </format>
    <format dxfId="3780">
      <pivotArea outline="0" collapsedLevelsAreSubtotals="1" fieldPosition="0"/>
    </format>
    <format dxfId="3781">
      <pivotArea field="13" type="button" dataOnly="0" labelOnly="1" outline="0" axis="axisRow" fieldPosition="0"/>
    </format>
    <format dxfId="3782">
      <pivotArea dataOnly="0" labelOnly="1" fieldPosition="0">
        <references count="1">
          <reference field="13" count="0"/>
        </references>
      </pivotArea>
    </format>
    <format dxfId="3783">
      <pivotArea dataOnly="0" labelOnly="1" grandRow="1" outline="0" fieldPosition="0"/>
    </format>
    <format dxfId="3784">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1302F0-0776-4EEA-A4F2-A985EBE9CC0B}" name="PivotTable11"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Age Group">
  <location ref="G23:H28"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axis="axisRow"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2"/>
  </rowFields>
  <rowItems count="5">
    <i>
      <x/>
    </i>
    <i>
      <x v="1"/>
    </i>
    <i>
      <x v="2"/>
    </i>
    <i>
      <x v="3"/>
    </i>
    <i t="grand">
      <x/>
    </i>
  </rowItems>
  <colItems count="1">
    <i/>
  </colItems>
  <dataFields count="1">
    <dataField name="Count of Employee ID" fld="0" subtotal="count" baseField="12" baseItem="0"/>
  </dataFields>
  <formats count="18">
    <format dxfId="3785">
      <pivotArea type="all" dataOnly="0" outline="0" fieldPosition="0"/>
    </format>
    <format dxfId="3786">
      <pivotArea outline="0" collapsedLevelsAreSubtotals="1" fieldPosition="0"/>
    </format>
    <format dxfId="3787">
      <pivotArea field="12" type="button" dataOnly="0" labelOnly="1" outline="0" axis="axisRow" fieldPosition="0"/>
    </format>
    <format dxfId="3788">
      <pivotArea dataOnly="0" labelOnly="1" fieldPosition="0">
        <references count="1">
          <reference field="12" count="0"/>
        </references>
      </pivotArea>
    </format>
    <format dxfId="3789">
      <pivotArea dataOnly="0" labelOnly="1" grandRow="1" outline="0" fieldPosition="0"/>
    </format>
    <format dxfId="3790">
      <pivotArea dataOnly="0" labelOnly="1" outline="0" axis="axisValues" fieldPosition="0"/>
    </format>
    <format dxfId="3791">
      <pivotArea type="all" dataOnly="0" outline="0" fieldPosition="0"/>
    </format>
    <format dxfId="3792">
      <pivotArea outline="0" collapsedLevelsAreSubtotals="1" fieldPosition="0"/>
    </format>
    <format dxfId="3793">
      <pivotArea field="12" type="button" dataOnly="0" labelOnly="1" outline="0" axis="axisRow" fieldPosition="0"/>
    </format>
    <format dxfId="3794">
      <pivotArea dataOnly="0" labelOnly="1" fieldPosition="0">
        <references count="1">
          <reference field="12" count="0"/>
        </references>
      </pivotArea>
    </format>
    <format dxfId="3795">
      <pivotArea dataOnly="0" labelOnly="1" grandRow="1" outline="0" fieldPosition="0"/>
    </format>
    <format dxfId="3796">
      <pivotArea dataOnly="0" labelOnly="1" outline="0" axis="axisValues" fieldPosition="0"/>
    </format>
    <format dxfId="3797">
      <pivotArea type="all" dataOnly="0" outline="0" fieldPosition="0"/>
    </format>
    <format dxfId="3798">
      <pivotArea outline="0" collapsedLevelsAreSubtotals="1" fieldPosition="0"/>
    </format>
    <format dxfId="3799">
      <pivotArea field="12" type="button" dataOnly="0" labelOnly="1" outline="0" axis="axisRow" fieldPosition="0"/>
    </format>
    <format dxfId="3800">
      <pivotArea dataOnly="0" labelOnly="1" fieldPosition="0">
        <references count="1">
          <reference field="12" count="0"/>
        </references>
      </pivotArea>
    </format>
    <format dxfId="3801">
      <pivotArea dataOnly="0" labelOnly="1" grandRow="1" outline="0" fieldPosition="0"/>
    </format>
    <format dxfId="3802">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2C8A10-0A7C-459B-973C-4D615072DEF0}" name="PivotTable10"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Gender">
  <location ref="D23:E27"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axis="axisRow"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Count of Employee ID" fld="0" subtotal="count" baseField="6" baseItem="0"/>
  </dataFields>
  <formats count="18">
    <format dxfId="3803">
      <pivotArea type="all" dataOnly="0" outline="0" fieldPosition="0"/>
    </format>
    <format dxfId="3804">
      <pivotArea outline="0" collapsedLevelsAreSubtotals="1" fieldPosition="0"/>
    </format>
    <format dxfId="3805">
      <pivotArea field="6" type="button" dataOnly="0" labelOnly="1" outline="0" axis="axisRow" fieldPosition="0"/>
    </format>
    <format dxfId="3806">
      <pivotArea dataOnly="0" labelOnly="1" fieldPosition="0">
        <references count="1">
          <reference field="6" count="0"/>
        </references>
      </pivotArea>
    </format>
    <format dxfId="3807">
      <pivotArea dataOnly="0" labelOnly="1" grandRow="1" outline="0" fieldPosition="0"/>
    </format>
    <format dxfId="3808">
      <pivotArea dataOnly="0" labelOnly="1" outline="0" axis="axisValues" fieldPosition="0"/>
    </format>
    <format dxfId="3809">
      <pivotArea type="all" dataOnly="0" outline="0" fieldPosition="0"/>
    </format>
    <format dxfId="3810">
      <pivotArea outline="0" collapsedLevelsAreSubtotals="1" fieldPosition="0"/>
    </format>
    <format dxfId="3811">
      <pivotArea field="6" type="button" dataOnly="0" labelOnly="1" outline="0" axis="axisRow" fieldPosition="0"/>
    </format>
    <format dxfId="3812">
      <pivotArea dataOnly="0" labelOnly="1" fieldPosition="0">
        <references count="1">
          <reference field="6" count="0"/>
        </references>
      </pivotArea>
    </format>
    <format dxfId="3813">
      <pivotArea dataOnly="0" labelOnly="1" grandRow="1" outline="0" fieldPosition="0"/>
    </format>
    <format dxfId="3814">
      <pivotArea dataOnly="0" labelOnly="1" outline="0" axis="axisValues" fieldPosition="0"/>
    </format>
    <format dxfId="3815">
      <pivotArea type="all" dataOnly="0" outline="0" fieldPosition="0"/>
    </format>
    <format dxfId="3816">
      <pivotArea outline="0" collapsedLevelsAreSubtotals="1" fieldPosition="0"/>
    </format>
    <format dxfId="3817">
      <pivotArea field="6" type="button" dataOnly="0" labelOnly="1" outline="0" axis="axisRow" fieldPosition="0"/>
    </format>
    <format dxfId="3818">
      <pivotArea dataOnly="0" labelOnly="1" fieldPosition="0">
        <references count="1">
          <reference field="6" count="0"/>
        </references>
      </pivotArea>
    </format>
    <format dxfId="3819">
      <pivotArea dataOnly="0" labelOnly="1" grandRow="1" outline="0" fieldPosition="0"/>
    </format>
    <format dxfId="3820">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2A5C9E-0F7E-453F-BCEE-ABC459867FFE}" name="PivotTable9"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epartment">
  <location ref="G12:J20" firstHeaderRow="1" firstDataRow="2" firstDataCol="1"/>
  <pivotFields count="18">
    <pivotField dataField="1" showAll="0"/>
    <pivotField axis="axisRow"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axis="axisCol"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7">
    <i>
      <x/>
    </i>
    <i>
      <x v="1"/>
    </i>
    <i>
      <x v="2"/>
    </i>
    <i>
      <x v="3"/>
    </i>
    <i>
      <x v="4"/>
    </i>
    <i>
      <x v="5"/>
    </i>
    <i t="grand">
      <x/>
    </i>
  </rowItems>
  <colFields count="1">
    <field x="5"/>
  </colFields>
  <colItems count="3">
    <i>
      <x/>
    </i>
    <i>
      <x v="1"/>
    </i>
    <i t="grand">
      <x/>
    </i>
  </colItems>
  <dataFields count="1">
    <dataField name="Count of Employee ID" fld="0" subtotal="count" baseField="1" baseItem="0"/>
  </dataFields>
  <formats count="30">
    <format dxfId="3637">
      <pivotArea type="all" dataOnly="0" outline="0" fieldPosition="0"/>
    </format>
    <format dxfId="3638">
      <pivotArea outline="0" collapsedLevelsAreSubtotals="1" fieldPosition="0"/>
    </format>
    <format dxfId="3639">
      <pivotArea type="origin" dataOnly="0" labelOnly="1" outline="0" fieldPosition="0"/>
    </format>
    <format dxfId="3640">
      <pivotArea field="5" type="button" dataOnly="0" labelOnly="1" outline="0" axis="axisCol" fieldPosition="0"/>
    </format>
    <format dxfId="3641">
      <pivotArea type="topRight" dataOnly="0" labelOnly="1" outline="0" fieldPosition="0"/>
    </format>
    <format dxfId="3642">
      <pivotArea field="1" type="button" dataOnly="0" labelOnly="1" outline="0" axis="axisRow" fieldPosition="0"/>
    </format>
    <format dxfId="3643">
      <pivotArea dataOnly="0" labelOnly="1" fieldPosition="0">
        <references count="1">
          <reference field="1" count="0"/>
        </references>
      </pivotArea>
    </format>
    <format dxfId="3644">
      <pivotArea dataOnly="0" labelOnly="1" grandRow="1" outline="0" fieldPosition="0"/>
    </format>
    <format dxfId="3645">
      <pivotArea dataOnly="0" labelOnly="1" fieldPosition="0">
        <references count="1">
          <reference field="5" count="0"/>
        </references>
      </pivotArea>
    </format>
    <format dxfId="3646">
      <pivotArea dataOnly="0" labelOnly="1" grandCol="1" outline="0" fieldPosition="0"/>
    </format>
    <format dxfId="3647">
      <pivotArea type="all" dataOnly="0" outline="0" fieldPosition="0"/>
    </format>
    <format dxfId="3648">
      <pivotArea outline="0" collapsedLevelsAreSubtotals="1" fieldPosition="0"/>
    </format>
    <format dxfId="3649">
      <pivotArea type="origin" dataOnly="0" labelOnly="1" outline="0" fieldPosition="0"/>
    </format>
    <format dxfId="3650">
      <pivotArea field="5" type="button" dataOnly="0" labelOnly="1" outline="0" axis="axisCol" fieldPosition="0"/>
    </format>
    <format dxfId="3651">
      <pivotArea type="topRight" dataOnly="0" labelOnly="1" outline="0" fieldPosition="0"/>
    </format>
    <format dxfId="3652">
      <pivotArea field="1" type="button" dataOnly="0" labelOnly="1" outline="0" axis="axisRow" fieldPosition="0"/>
    </format>
    <format dxfId="3653">
      <pivotArea dataOnly="0" labelOnly="1" fieldPosition="0">
        <references count="1">
          <reference field="1" count="0"/>
        </references>
      </pivotArea>
    </format>
    <format dxfId="3654">
      <pivotArea dataOnly="0" labelOnly="1" grandRow="1" outline="0" fieldPosition="0"/>
    </format>
    <format dxfId="3655">
      <pivotArea dataOnly="0" labelOnly="1" fieldPosition="0">
        <references count="1">
          <reference field="5" count="0"/>
        </references>
      </pivotArea>
    </format>
    <format dxfId="3656">
      <pivotArea dataOnly="0" labelOnly="1" grandCol="1" outline="0" fieldPosition="0"/>
    </format>
    <format dxfId="3657">
      <pivotArea type="all" dataOnly="0" outline="0" fieldPosition="0"/>
    </format>
    <format dxfId="3658">
      <pivotArea outline="0" collapsedLevelsAreSubtotals="1" fieldPosition="0"/>
    </format>
    <format dxfId="3659">
      <pivotArea type="origin" dataOnly="0" labelOnly="1" outline="0" fieldPosition="0"/>
    </format>
    <format dxfId="3660">
      <pivotArea field="5" type="button" dataOnly="0" labelOnly="1" outline="0" axis="axisCol" fieldPosition="0"/>
    </format>
    <format dxfId="3661">
      <pivotArea type="topRight" dataOnly="0" labelOnly="1" outline="0" fieldPosition="0"/>
    </format>
    <format dxfId="3662">
      <pivotArea field="1" type="button" dataOnly="0" labelOnly="1" outline="0" axis="axisRow" fieldPosition="0"/>
    </format>
    <format dxfId="3663">
      <pivotArea dataOnly="0" labelOnly="1" fieldPosition="0">
        <references count="1">
          <reference field="1" count="0"/>
        </references>
      </pivotArea>
    </format>
    <format dxfId="3664">
      <pivotArea dataOnly="0" labelOnly="1" grandRow="1" outline="0" fieldPosition="0"/>
    </format>
    <format dxfId="3665">
      <pivotArea dataOnly="0" labelOnly="1" fieldPosition="0">
        <references count="1">
          <reference field="5" count="0"/>
        </references>
      </pivotArea>
    </format>
    <format dxfId="3666">
      <pivotArea dataOnly="0" labelOnly="1" grandCol="1" outline="0" fieldPosition="0"/>
    </format>
  </formats>
  <chartFormats count="2">
    <chartFormat chart="2" format="2" series="1">
      <pivotArea type="data" outline="0" fieldPosition="0">
        <references count="2">
          <reference field="4294967294" count="1" selected="0">
            <x v="0"/>
          </reference>
          <reference field="5" count="1" selected="0">
            <x v="0"/>
          </reference>
        </references>
      </pivotArea>
    </chartFormat>
    <chartFormat chart="2"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82A56F-ABAA-4FAE-8192-0A48ED284FA9}" name="PivotTable8"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Join Year">
  <location ref="D12:E20"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showAll="0"/>
    <pivotField axis="axisRow"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9"/>
  </rowFields>
  <rowItems count="8">
    <i>
      <x/>
    </i>
    <i>
      <x v="1"/>
    </i>
    <i>
      <x v="2"/>
    </i>
    <i>
      <x v="3"/>
    </i>
    <i>
      <x v="4"/>
    </i>
    <i>
      <x v="5"/>
    </i>
    <i>
      <x v="6"/>
    </i>
    <i t="grand">
      <x/>
    </i>
  </rowItems>
  <colItems count="1">
    <i/>
  </colItems>
  <dataFields count="1">
    <dataField name="Count of Employee ID" fld="0" subtotal="count" baseField="9" baseItem="0"/>
  </dataFields>
  <formats count="18">
    <format dxfId="3667">
      <pivotArea type="all" dataOnly="0" outline="0" fieldPosition="0"/>
    </format>
    <format dxfId="3668">
      <pivotArea outline="0" collapsedLevelsAreSubtotals="1" fieldPosition="0"/>
    </format>
    <format dxfId="3669">
      <pivotArea field="9" type="button" dataOnly="0" labelOnly="1" outline="0" axis="axisRow" fieldPosition="0"/>
    </format>
    <format dxfId="3670">
      <pivotArea dataOnly="0" labelOnly="1" fieldPosition="0">
        <references count="1">
          <reference field="9" count="0"/>
        </references>
      </pivotArea>
    </format>
    <format dxfId="3671">
      <pivotArea dataOnly="0" labelOnly="1" grandRow="1" outline="0" fieldPosition="0"/>
    </format>
    <format dxfId="3672">
      <pivotArea dataOnly="0" labelOnly="1" outline="0" axis="axisValues" fieldPosition="0"/>
    </format>
    <format dxfId="3673">
      <pivotArea type="all" dataOnly="0" outline="0" fieldPosition="0"/>
    </format>
    <format dxfId="3674">
      <pivotArea outline="0" collapsedLevelsAreSubtotals="1" fieldPosition="0"/>
    </format>
    <format dxfId="3675">
      <pivotArea field="9" type="button" dataOnly="0" labelOnly="1" outline="0" axis="axisRow" fieldPosition="0"/>
    </format>
    <format dxfId="3676">
      <pivotArea dataOnly="0" labelOnly="1" fieldPosition="0">
        <references count="1">
          <reference field="9" count="0"/>
        </references>
      </pivotArea>
    </format>
    <format dxfId="3677">
      <pivotArea dataOnly="0" labelOnly="1" grandRow="1" outline="0" fieldPosition="0"/>
    </format>
    <format dxfId="3678">
      <pivotArea dataOnly="0" labelOnly="1" outline="0" axis="axisValues" fieldPosition="0"/>
    </format>
    <format dxfId="3679">
      <pivotArea type="all" dataOnly="0" outline="0" fieldPosition="0"/>
    </format>
    <format dxfId="3680">
      <pivotArea outline="0" collapsedLevelsAreSubtotals="1" fieldPosition="0"/>
    </format>
    <format dxfId="3681">
      <pivotArea field="9" type="button" dataOnly="0" labelOnly="1" outline="0" axis="axisRow" fieldPosition="0"/>
    </format>
    <format dxfId="3682">
      <pivotArea dataOnly="0" labelOnly="1" fieldPosition="0">
        <references count="1">
          <reference field="9" count="0"/>
        </references>
      </pivotArea>
    </format>
    <format dxfId="3683">
      <pivotArea dataOnly="0" labelOnly="1" grandRow="1" outline="0" fieldPosition="0"/>
    </format>
    <format dxfId="3684">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2860E9-1141-4926-B291-A1A3906B93E8}" name="PivotTable7"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Exit Reason">
  <location ref="I2:J10"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axis="axisRow" showAll="0" sortType="descending">
      <items count="8">
        <item x="3"/>
        <item x="0"/>
        <item x="2"/>
        <item x="5"/>
        <item x="6"/>
        <item x="4"/>
        <item x="1"/>
        <item t="default"/>
      </items>
    </pivotField>
    <pivotField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8">
    <i>
      <x/>
    </i>
    <i>
      <x v="1"/>
    </i>
    <i>
      <x v="2"/>
    </i>
    <i>
      <x v="3"/>
    </i>
    <i>
      <x v="4"/>
    </i>
    <i>
      <x v="5"/>
    </i>
    <i>
      <x v="6"/>
    </i>
    <i t="grand">
      <x/>
    </i>
  </rowItems>
  <colItems count="1">
    <i/>
  </colItems>
  <dataFields count="1">
    <dataField name="Count of Employee ID" fld="0" subtotal="count" baseField="4" baseItem="0"/>
  </dataFields>
  <formats count="18">
    <format dxfId="1275">
      <pivotArea type="all" dataOnly="0" outline="0" fieldPosition="0"/>
    </format>
    <format dxfId="1276">
      <pivotArea outline="0" collapsedLevelsAreSubtotals="1" fieldPosition="0"/>
    </format>
    <format dxfId="1277">
      <pivotArea field="4" type="button" dataOnly="0" labelOnly="1" outline="0" axis="axisRow" fieldPosition="0"/>
    </format>
    <format dxfId="1278">
      <pivotArea dataOnly="0" labelOnly="1" fieldPosition="0">
        <references count="1">
          <reference field="4" count="0"/>
        </references>
      </pivotArea>
    </format>
    <format dxfId="1279">
      <pivotArea dataOnly="0" labelOnly="1" grandRow="1" outline="0" fieldPosition="0"/>
    </format>
    <format dxfId="1280">
      <pivotArea dataOnly="0" labelOnly="1" outline="0" axis="axisValues" fieldPosition="0"/>
    </format>
    <format dxfId="1281">
      <pivotArea type="all" dataOnly="0" outline="0" fieldPosition="0"/>
    </format>
    <format dxfId="1282">
      <pivotArea outline="0" collapsedLevelsAreSubtotals="1" fieldPosition="0"/>
    </format>
    <format dxfId="1283">
      <pivotArea field="4" type="button" dataOnly="0" labelOnly="1" outline="0" axis="axisRow" fieldPosition="0"/>
    </format>
    <format dxfId="1284">
      <pivotArea dataOnly="0" labelOnly="1" fieldPosition="0">
        <references count="1">
          <reference field="4" count="0"/>
        </references>
      </pivotArea>
    </format>
    <format dxfId="1285">
      <pivotArea dataOnly="0" labelOnly="1" grandRow="1" outline="0" fieldPosition="0"/>
    </format>
    <format dxfId="1286">
      <pivotArea dataOnly="0" labelOnly="1" outline="0" axis="axisValues" fieldPosition="0"/>
    </format>
    <format dxfId="1287">
      <pivotArea type="all" dataOnly="0" outline="0" fieldPosition="0"/>
    </format>
    <format dxfId="1288">
      <pivotArea outline="0" collapsedLevelsAreSubtotals="1" fieldPosition="0"/>
    </format>
    <format dxfId="1289">
      <pivotArea field="4" type="button" dataOnly="0" labelOnly="1" outline="0" axis="axisRow" fieldPosition="0"/>
    </format>
    <format dxfId="1290">
      <pivotArea dataOnly="0" labelOnly="1" fieldPosition="0">
        <references count="1">
          <reference field="4" count="0"/>
        </references>
      </pivotArea>
    </format>
    <format dxfId="1291">
      <pivotArea dataOnly="0" labelOnly="1" grandRow="1" outline="0" fieldPosition="0"/>
    </format>
    <format dxfId="1292">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CA308E-41DA-4F03-B3B7-36FD97CF411A}" name="PivotTable6"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tatus">
  <location ref="F2:G5" firstHeaderRow="1" firstDataRow="1" firstDataCol="1"/>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axis="axisRow"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5"/>
  </rowFields>
  <rowItems count="3">
    <i>
      <x/>
    </i>
    <i>
      <x v="1"/>
    </i>
    <i t="grand">
      <x/>
    </i>
  </rowItems>
  <colItems count="1">
    <i/>
  </colItems>
  <dataFields count="1">
    <dataField name="Count of Employee ID" fld="0" subtotal="count" baseField="5" baseItem="0"/>
  </dataFields>
  <formats count="18">
    <format dxfId="3685">
      <pivotArea type="all" dataOnly="0" outline="0" fieldPosition="0"/>
    </format>
    <format dxfId="3686">
      <pivotArea outline="0" collapsedLevelsAreSubtotals="1" fieldPosition="0"/>
    </format>
    <format dxfId="3687">
      <pivotArea field="5" type="button" dataOnly="0" labelOnly="1" outline="0" axis="axisRow" fieldPosition="0"/>
    </format>
    <format dxfId="3688">
      <pivotArea dataOnly="0" labelOnly="1" fieldPosition="0">
        <references count="1">
          <reference field="5" count="0"/>
        </references>
      </pivotArea>
    </format>
    <format dxfId="3689">
      <pivotArea dataOnly="0" labelOnly="1" grandRow="1" outline="0" fieldPosition="0"/>
    </format>
    <format dxfId="3690">
      <pivotArea dataOnly="0" labelOnly="1" outline="0" axis="axisValues" fieldPosition="0"/>
    </format>
    <format dxfId="3691">
      <pivotArea type="all" dataOnly="0" outline="0" fieldPosition="0"/>
    </format>
    <format dxfId="3692">
      <pivotArea outline="0" collapsedLevelsAreSubtotals="1" fieldPosition="0"/>
    </format>
    <format dxfId="3693">
      <pivotArea field="5" type="button" dataOnly="0" labelOnly="1" outline="0" axis="axisRow" fieldPosition="0"/>
    </format>
    <format dxfId="3694">
      <pivotArea dataOnly="0" labelOnly="1" fieldPosition="0">
        <references count="1">
          <reference field="5" count="0"/>
        </references>
      </pivotArea>
    </format>
    <format dxfId="3695">
      <pivotArea dataOnly="0" labelOnly="1" grandRow="1" outline="0" fieldPosition="0"/>
    </format>
    <format dxfId="3696">
      <pivotArea dataOnly="0" labelOnly="1" outline="0" axis="axisValues" fieldPosition="0"/>
    </format>
    <format dxfId="3697">
      <pivotArea type="all" dataOnly="0" outline="0" fieldPosition="0"/>
    </format>
    <format dxfId="3698">
      <pivotArea outline="0" collapsedLevelsAreSubtotals="1" fieldPosition="0"/>
    </format>
    <format dxfId="3699">
      <pivotArea field="5" type="button" dataOnly="0" labelOnly="1" outline="0" axis="axisRow" fieldPosition="0"/>
    </format>
    <format dxfId="3700">
      <pivotArea dataOnly="0" labelOnly="1" fieldPosition="0">
        <references count="1">
          <reference field="5" count="0"/>
        </references>
      </pivotArea>
    </format>
    <format dxfId="3701">
      <pivotArea dataOnly="0" labelOnly="1" grandRow="1" outline="0" fieldPosition="0"/>
    </format>
    <format dxfId="3702">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97BC02-988C-4C8C-8ED2-8848C2FC1965}" name="PivotTable5"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Department">
  <location ref="C2:D9" firstHeaderRow="1" firstDataRow="1" firstDataCol="1"/>
  <pivotFields count="18">
    <pivotField dataField="1" showAll="0"/>
    <pivotField axis="axisRow" showAll="0" sortType="descending">
      <items count="7">
        <item x="4"/>
        <item x="2"/>
        <item x="0"/>
        <item x="5"/>
        <item x="3"/>
        <item x="1"/>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7">
    <i>
      <x/>
    </i>
    <i>
      <x v="1"/>
    </i>
    <i>
      <x v="2"/>
    </i>
    <i>
      <x v="3"/>
    </i>
    <i>
      <x v="4"/>
    </i>
    <i>
      <x v="5"/>
    </i>
    <i t="grand">
      <x/>
    </i>
  </rowItems>
  <colItems count="1">
    <i/>
  </colItems>
  <dataFields count="1">
    <dataField name="Count of Employee ID" fld="0" subtotal="count" baseField="1" baseItem="0"/>
  </dataFields>
  <formats count="18">
    <format dxfId="3703">
      <pivotArea type="all" dataOnly="0" outline="0" fieldPosition="0"/>
    </format>
    <format dxfId="3704">
      <pivotArea outline="0" collapsedLevelsAreSubtotals="1" fieldPosition="0"/>
    </format>
    <format dxfId="3705">
      <pivotArea field="1" type="button" dataOnly="0" labelOnly="1" outline="0" axis="axisRow" fieldPosition="0"/>
    </format>
    <format dxfId="3706">
      <pivotArea dataOnly="0" labelOnly="1" fieldPosition="0">
        <references count="1">
          <reference field="1" count="0"/>
        </references>
      </pivotArea>
    </format>
    <format dxfId="3707">
      <pivotArea dataOnly="0" labelOnly="1" grandRow="1" outline="0" fieldPosition="0"/>
    </format>
    <format dxfId="3708">
      <pivotArea dataOnly="0" labelOnly="1" outline="0" axis="axisValues" fieldPosition="0"/>
    </format>
    <format dxfId="3709">
      <pivotArea type="all" dataOnly="0" outline="0" fieldPosition="0"/>
    </format>
    <format dxfId="3710">
      <pivotArea outline="0" collapsedLevelsAreSubtotals="1" fieldPosition="0"/>
    </format>
    <format dxfId="3711">
      <pivotArea field="1" type="button" dataOnly="0" labelOnly="1" outline="0" axis="axisRow" fieldPosition="0"/>
    </format>
    <format dxfId="3712">
      <pivotArea dataOnly="0" labelOnly="1" fieldPosition="0">
        <references count="1">
          <reference field="1" count="0"/>
        </references>
      </pivotArea>
    </format>
    <format dxfId="3713">
      <pivotArea dataOnly="0" labelOnly="1" grandRow="1" outline="0" fieldPosition="0"/>
    </format>
    <format dxfId="3714">
      <pivotArea dataOnly="0" labelOnly="1" outline="0" axis="axisValues" fieldPosition="0"/>
    </format>
    <format dxfId="3715">
      <pivotArea type="all" dataOnly="0" outline="0" fieldPosition="0"/>
    </format>
    <format dxfId="3716">
      <pivotArea outline="0" collapsedLevelsAreSubtotals="1" fieldPosition="0"/>
    </format>
    <format dxfId="3717">
      <pivotArea field="1" type="button" dataOnly="0" labelOnly="1" outline="0" axis="axisRow" fieldPosition="0"/>
    </format>
    <format dxfId="3718">
      <pivotArea dataOnly="0" labelOnly="1" fieldPosition="0">
        <references count="1">
          <reference field="1" count="0"/>
        </references>
      </pivotArea>
    </format>
    <format dxfId="3719">
      <pivotArea dataOnly="0" labelOnly="1" grandRow="1" outline="0" fieldPosition="0"/>
    </format>
    <format dxfId="3720">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3AAA23-3ACB-4153-B2D1-F43A82F3FCB4}" name="PivotTable4"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18">
    <pivotField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dataField="1"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Age" fld="7" subtotal="average" baseField="0" baseItem="0" numFmtId="172"/>
  </dataFields>
  <formats count="9">
    <format dxfId="3721">
      <pivotArea type="all" dataOnly="0" outline="0" fieldPosition="0"/>
    </format>
    <format dxfId="3722">
      <pivotArea outline="0" collapsedLevelsAreSubtotals="1" fieldPosition="0"/>
    </format>
    <format dxfId="3723">
      <pivotArea dataOnly="0" labelOnly="1" outline="0" axis="axisValues" fieldPosition="0"/>
    </format>
    <format dxfId="3724">
      <pivotArea type="all" dataOnly="0" outline="0" fieldPosition="0"/>
    </format>
    <format dxfId="3725">
      <pivotArea outline="0" collapsedLevelsAreSubtotals="1" fieldPosition="0"/>
    </format>
    <format dxfId="3726">
      <pivotArea dataOnly="0" labelOnly="1" outline="0" axis="axisValues" fieldPosition="0"/>
    </format>
    <format dxfId="3727">
      <pivotArea type="all" dataOnly="0" outline="0" fieldPosition="0"/>
    </format>
    <format dxfId="3728">
      <pivotArea outline="0" collapsedLevelsAreSubtotals="1" fieldPosition="0"/>
    </format>
    <format dxfId="37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4388B2-0C03-410D-88C4-665354212624}" name="PivotTable3"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8">
    <pivotField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dataField="1"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Tenure" fld="8" subtotal="average" baseField="0" baseItem="0" numFmtId="172"/>
  </dataFields>
  <formats count="11">
    <format dxfId="3833">
      <pivotArea type="all" dataOnly="0" outline="0" fieldPosition="0"/>
    </format>
    <format dxfId="3834">
      <pivotArea outline="0" collapsedLevelsAreSubtotals="1" fieldPosition="0"/>
    </format>
    <format dxfId="3835">
      <pivotArea dataOnly="0" labelOnly="1" outline="0" axis="axisValues" fieldPosition="0"/>
    </format>
    <format dxfId="3836">
      <pivotArea type="all" dataOnly="0" outline="0" fieldPosition="0"/>
    </format>
    <format dxfId="3837">
      <pivotArea outline="0" collapsedLevelsAreSubtotals="1" fieldPosition="0"/>
    </format>
    <format dxfId="3838">
      <pivotArea dataOnly="0" labelOnly="1" outline="0" axis="axisValues" fieldPosition="0"/>
    </format>
    <format dxfId="3839">
      <pivotArea type="all" dataOnly="0" outline="0" fieldPosition="0"/>
    </format>
    <format dxfId="3840">
      <pivotArea outline="0" collapsedLevelsAreSubtotals="1" fieldPosition="0"/>
    </format>
    <format dxfId="3841">
      <pivotArea dataOnly="0" labelOnly="1" outline="0" axis="axisValues" fieldPosition="0"/>
    </format>
    <format dxfId="3842">
      <pivotArea outline="0" collapsedLevelsAreSubtotals="1" fieldPosition="0"/>
    </format>
    <format dxfId="384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287E85-51BC-42A1-ACC7-D6DAC2383059}" name="PivotTable2"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6:B117" firstHeaderRow="1" firstDataRow="1" firstDataCol="1" rowPageCount="1" colPageCount="1"/>
  <pivotFields count="18">
    <pivotField axis="axisRow"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axis="axisPage"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ageFields count="1">
    <pageField fld="5" hier="-1"/>
  </pageFields>
  <dataFields count="1">
    <dataField name="Count of Employee ID" fld="0" subtotal="count" baseField="0" baseItem="0"/>
  </dataFields>
  <formats count="7">
    <format dxfId="3730">
      <pivotArea type="all" dataOnly="0" outline="0" fieldPosition="0"/>
    </format>
    <format dxfId="3731">
      <pivotArea outline="0" collapsedLevelsAreSubtotals="1" fieldPosition="0"/>
    </format>
    <format dxfId="3732">
      <pivotArea field="0" type="button" dataOnly="0" labelOnly="1" outline="0" axis="axisRow" fieldPosition="0"/>
    </format>
    <format dxfId="373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3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735">
      <pivotArea dataOnly="0" labelOnly="1" grandRow="1" outline="0" fieldPosition="0"/>
    </format>
    <format dxfId="37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206103-F366-42A7-8623-39F24759DDCE}" name="PivotTable1"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A3" firstHeaderRow="1" firstDataRow="1" firstDataCol="0"/>
  <pivotFields count="18">
    <pivotField dataField="1" showAll="0"/>
    <pivotField showAll="0">
      <items count="7">
        <item x="1"/>
        <item x="3"/>
        <item x="5"/>
        <item x="0"/>
        <item x="2"/>
        <item x="4"/>
        <item t="default"/>
      </items>
    </pivotField>
    <pivotField numFmtId="170"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items count="8">
        <item x="1"/>
        <item x="4"/>
        <item x="6"/>
        <item x="5"/>
        <item x="2"/>
        <item x="0"/>
        <item x="3"/>
        <item t="default"/>
      </items>
    </pivotField>
    <pivotField showAll="0">
      <items count="3">
        <item x="0"/>
        <item x="1"/>
        <item t="default"/>
      </items>
    </pivotField>
    <pivotField showAll="0">
      <items count="4">
        <item x="0"/>
        <item x="1"/>
        <item x="2"/>
        <item t="default"/>
      </items>
    </pivotField>
    <pivotField showAll="0"/>
    <pivotField showAll="0"/>
    <pivotField showAll="0">
      <items count="8">
        <item x="0"/>
        <item x="4"/>
        <item x="1"/>
        <item x="2"/>
        <item x="5"/>
        <item x="3"/>
        <item x="6"/>
        <item t="default"/>
      </items>
    </pivotField>
    <pivotField showAll="0"/>
    <pivotField showAll="0"/>
    <pivotField showAll="0">
      <items count="5">
        <item x="0"/>
        <item x="3"/>
        <item x="2"/>
        <item x="1"/>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Total Employees" fld="0" subtotal="count" baseField="0" baseItem="0"/>
  </dataFields>
  <formats count="12">
    <format dxfId="3821">
      <pivotArea type="all" dataOnly="0" outline="0" fieldPosition="0"/>
    </format>
    <format dxfId="3822">
      <pivotArea outline="0" collapsedLevelsAreSubtotals="1" fieldPosition="0"/>
    </format>
    <format dxfId="3823">
      <pivotArea dataOnly="0" labelOnly="1" outline="0" axis="axisValues" fieldPosition="0"/>
    </format>
    <format dxfId="3824">
      <pivotArea type="all" dataOnly="0" outline="0" fieldPosition="0"/>
    </format>
    <format dxfId="3825">
      <pivotArea outline="0" collapsedLevelsAreSubtotals="1" fieldPosition="0"/>
    </format>
    <format dxfId="3826">
      <pivotArea dataOnly="0" labelOnly="1" outline="0" axis="axisValues" fieldPosition="0"/>
    </format>
    <format dxfId="3827">
      <pivotArea type="all" dataOnly="0" outline="0" fieldPosition="0"/>
    </format>
    <format dxfId="3828">
      <pivotArea outline="0" collapsedLevelsAreSubtotals="1" fieldPosition="0"/>
    </format>
    <format dxfId="3829">
      <pivotArea dataOnly="0" labelOnly="1" outline="0" axis="axisValues" fieldPosition="0"/>
    </format>
    <format dxfId="3830">
      <pivotArea type="all" dataOnly="0" outline="0" fieldPosition="0"/>
    </format>
    <format dxfId="3831">
      <pivotArea outline="0" collapsedLevelsAreSubtotals="1" fieldPosition="0"/>
    </format>
    <format dxfId="38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7D55FA-0572-4C5F-9869-4CE2C9390317}" sourceName="Department">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6">
        <i x="1" s="1"/>
        <i x="3" s="1"/>
        <i x="5"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DE4B019-6DCA-426D-98E4-F6A480F37F22}" sourceName="Status">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81E97F-60BA-4678-9148-9A53CA67257C}" sourceName="Gender">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Year" xr10:uid="{FC916F42-A766-4A7A-931C-0A027C4E7595}" sourceName="Join Year">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s>
  <data>
    <tabular pivotCacheId="1181107956">
      <items count="7">
        <i x="0" s="1"/>
        <i x="4" s="1"/>
        <i x="1" s="1"/>
        <i x="2" s="1"/>
        <i x="5"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6F9D89C-69D0-45AC-B623-A8AA391E953F}" sourceName="Age Group">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4">
        <i x="0" s="1"/>
        <i x="3"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2FCC6E50-C5B1-4CEF-95B9-494604F78946}" sourceName="Tenure Group">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4">
        <i x="2" s="1"/>
        <i x="1"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_Reason" xr10:uid="{761CF406-F185-4074-8FF5-8EAC179C4B31}" sourceName="Exit Reason">
  <pivotTables>
    <pivotTable tabId="3" name="PivotTable3"/>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6"/>
    <pivotTable tabId="3" name="PivotTable7"/>
    <pivotTable tabId="3" name="PivotTable8"/>
    <pivotTable tabId="3" name="PivotTable9"/>
    <pivotTable tabId="3" name="PivotTable14"/>
  </pivotTables>
  <data>
    <tabular pivotCacheId="1181107956">
      <items count="7">
        <i x="1" s="1"/>
        <i x="4" s="1"/>
        <i x="6" s="1"/>
        <i x="5"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B487005-8940-4A21-A735-810242BFDA07}" cache="Slicer_Department" caption="Department" style="SlicerStyleDark5" rowHeight="234950"/>
  <slicer name="Status" xr10:uid="{5C1EC62B-A8A7-4B73-8FC2-C6DD633189C0}" cache="Slicer_Status" caption="Status" style="SlicerStyleDark5" rowHeight="234950"/>
  <slicer name="Gender" xr10:uid="{F2264E44-31E1-4372-BAC6-94FF059F90F2}" cache="Slicer_Gender" caption="Gender" style="SlicerStyleDark5" rowHeight="234950"/>
  <slicer name="Join Year" xr10:uid="{B97DE70A-B081-49F0-A18B-C5E968440DAF}" cache="Slicer_Join_Year" caption="Join Year" style="SlicerStyleDark5" rowHeight="234950"/>
  <slicer name="Age Group" xr10:uid="{A68B4FBF-CBCD-4641-AFF2-AA394169E90F}" cache="Slicer_Age_Group" caption="Age Group" style="SlicerStyleDark5" rowHeight="234950"/>
  <slicer name="Tenure Group" xr10:uid="{4E0FD965-7ABF-4EA0-AB08-CF64DAD6D74E}" cache="Slicer_Tenure_Group" caption="Tenure Group" style="SlicerStyleDark5" rowHeight="234950"/>
  <slicer name="Exit Reason" xr10:uid="{24F70AC5-D6A9-4405-AFB9-3674B6E3F748}" cache="Slicer_Exit_Reason" caption="Exit Reas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C7E07E-8B3D-456B-B390-E25BAFFAD5FE}" name="EmployeeData" displayName="EmployeeData" ref="A1:O101" totalsRowShown="0" headerRowDxfId="3636" dataDxfId="3850">
  <autoFilter ref="A1:O101" xr:uid="{B9C7E07E-8B3D-456B-B390-E25BAFFAD5FE}"/>
  <tableColumns count="15">
    <tableColumn id="1" xr3:uid="{78360927-17D7-40B6-BE66-DA6525C7846B}" name="Employee ID" dataDxfId="3859"/>
    <tableColumn id="2" xr3:uid="{A3B99EF9-97B1-4CA5-A083-30DA1693DFEB}" name="Department" dataDxfId="3846"/>
    <tableColumn id="3" xr3:uid="{E872A5AE-3157-4608-A894-88C824FDD792}" name="Join Date" dataDxfId="3845"/>
    <tableColumn id="4" xr3:uid="{14361EE3-1263-4371-8A7F-9CFC3215A768}" name="Exit Date" dataDxfId="3844"/>
    <tableColumn id="5" xr3:uid="{F517083A-C3B0-49DB-9D19-D4101D347AF2}" name="Exit Reason" dataDxfId="3858"/>
    <tableColumn id="6" xr3:uid="{C87512DB-2B6E-4F5E-9B0C-72817377C9E8}" name="Status" dataDxfId="3857"/>
    <tableColumn id="7" xr3:uid="{900B70BB-C7F7-4C02-AE8F-515745FB7D23}" name="Gender" dataDxfId="3856"/>
    <tableColumn id="8" xr3:uid="{3DC73FCF-7FE0-44A1-8236-53D808A1B1D1}" name="Age" dataDxfId="3855"/>
    <tableColumn id="9" xr3:uid="{F13F3FA6-EEA5-4D4B-B9AD-E3BB9734E1FF}" name="Tenure" dataDxfId="3854">
      <calculatedColumnFormula>IF(ISBLANK(D2),ROUNDUP((TODAY()-C2)/365,1),ROUNDUP((D2-C2)/365,1))</calculatedColumnFormula>
    </tableColumn>
    <tableColumn id="10" xr3:uid="{FC139B48-ED28-4AF6-83EC-C29FEDDD8D9F}" name="Join Year" dataDxfId="3853">
      <calculatedColumnFormula>YEAR(C2)</calculatedColumnFormula>
    </tableColumn>
    <tableColumn id="11" xr3:uid="{D524E2CD-38B1-49FC-B0E8-88455848B119}" name="Join Month" dataDxfId="3852">
      <calculatedColumnFormula>TEXT(C2,"mmm")</calculatedColumnFormula>
    </tableColumn>
    <tableColumn id="12" xr3:uid="{2D8452FF-5CC1-4E25-B7AA-276EDFC77369}" name="Exit Year" dataDxfId="3851">
      <calculatedColumnFormula>IF(D2="","Active",YEAR(D2))</calculatedColumnFormula>
    </tableColumn>
    <tableColumn id="13" xr3:uid="{85F8492D-01CC-40FF-BDE2-EF92692F5104}" name="Age Group" dataDxfId="3848">
      <calculatedColumnFormula>IF(H2&lt;30,"20-29 Years",IF(H2&lt;40,"30-39 Years",IF(H2&lt;50,"40-49 Years","50+ Years")))</calculatedColumnFormula>
    </tableColumn>
    <tableColumn id="14" xr3:uid="{50C25683-CF5A-43A1-A5CE-FBE3607C0DFE}" name="Tenure Group" dataDxfId="3847">
      <calculatedColumnFormula>IF(I2&lt;1,"Less than 1 Year",IF(I2&lt;3,"1-3 Years",IF(I2&lt;5,"3-5 Years","More than 5 Years")))</calculatedColumnFormula>
    </tableColumn>
    <tableColumn id="15" xr3:uid="{6A86BC72-8189-4A83-85F6-55B676264960}" name="Attrition" dataDxfId="3849">
      <calculatedColumnFormula>IF(F2="Exited","Exited","Active")</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C02630CD-0893-42DE-9377-47B200C72090}" sourceName="Join Date">
  <pivotTables>
    <pivotTable tabId="3" name="PivotTable4"/>
    <pivotTable tabId="3" name="PivotTable1"/>
    <pivotTable tabId="3" name="PivotTable10"/>
    <pivotTable tabId="3" name="PivotTable11"/>
    <pivotTable tabId="3" name="PivotTable12"/>
    <pivotTable tabId="3" name="PivotTable13"/>
    <pivotTable tabId="3" name="PivotTable2"/>
    <pivotTable tabId="3" name="PivotTable3"/>
    <pivotTable tabId="3" name="PivotTable5"/>
    <pivotTable tabId="3" name="PivotTable6"/>
    <pivotTable tabId="3" name="PivotTable7"/>
    <pivotTable tabId="3" name="PivotTable8"/>
    <pivotTable tabId="3" name="PivotTable9"/>
    <pivotTable tabId="3" name="PivotTable14"/>
  </pivotTables>
  <state minimalRefreshVersion="6" lastRefreshVersion="6" pivotCacheId="1181107956" filterType="unknown">
    <bounds startDate="201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B034FC40-650B-4E7F-AEB1-8AF45E0C4490}" cache="NativeTimeline_Join_Date" caption="Join Date" level="0" selectionLevel="2" scrollPosition="2018-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workbookViewId="0">
      <pane ySplit="1" topLeftCell="A2" activePane="bottomLeft" state="frozen"/>
      <selection pane="bottomLeft" activeCell="F3" sqref="F3"/>
    </sheetView>
  </sheetViews>
  <sheetFormatPr defaultRowHeight="14.4" x14ac:dyDescent="0.3"/>
  <cols>
    <col min="1" max="1" width="16" bestFit="1" customWidth="1"/>
    <col min="2" max="2" width="15.77734375" bestFit="1" customWidth="1"/>
    <col min="3" max="3" width="13.109375" style="3" bestFit="1" customWidth="1"/>
    <col min="4" max="4" width="12.77734375" style="3" bestFit="1" customWidth="1"/>
    <col min="5" max="5" width="16.44140625" bestFit="1" customWidth="1"/>
    <col min="6" max="6" width="10.6640625" bestFit="1" customWidth="1"/>
    <col min="7" max="7" width="11.5546875" bestFit="1" customWidth="1"/>
    <col min="8" max="8" width="8.6640625" bestFit="1" customWidth="1"/>
    <col min="9" max="9" width="11.33203125" style="1" bestFit="1" customWidth="1"/>
    <col min="10" max="10" width="12.88671875" style="1" bestFit="1" customWidth="1"/>
    <col min="11" max="11" width="15" bestFit="1" customWidth="1"/>
    <col min="12" max="12" width="12.5546875" bestFit="1" customWidth="1"/>
    <col min="13" max="13" width="14.33203125" bestFit="1" customWidth="1"/>
    <col min="14" max="14" width="17" bestFit="1" customWidth="1"/>
    <col min="15" max="15" width="12.44140625" bestFit="1" customWidth="1"/>
  </cols>
  <sheetData>
    <row r="1" spans="1:15" x14ac:dyDescent="0.3">
      <c r="A1" s="14" t="s">
        <v>0</v>
      </c>
      <c r="B1" s="14" t="s">
        <v>1</v>
      </c>
      <c r="C1" s="15" t="s">
        <v>2</v>
      </c>
      <c r="D1" s="15" t="s">
        <v>3</v>
      </c>
      <c r="E1" s="14" t="s">
        <v>4</v>
      </c>
      <c r="F1" s="14" t="s">
        <v>5</v>
      </c>
      <c r="G1" s="14" t="s">
        <v>6</v>
      </c>
      <c r="H1" s="14" t="s">
        <v>7</v>
      </c>
      <c r="I1" s="14" t="s">
        <v>25</v>
      </c>
      <c r="J1" s="14" t="s">
        <v>26</v>
      </c>
      <c r="K1" s="14" t="s">
        <v>27</v>
      </c>
      <c r="L1" s="14" t="s">
        <v>28</v>
      </c>
      <c r="M1" s="14" t="s">
        <v>29</v>
      </c>
      <c r="N1" s="14" t="s">
        <v>30</v>
      </c>
      <c r="O1" s="14" t="s">
        <v>31</v>
      </c>
    </row>
    <row r="2" spans="1:15" x14ac:dyDescent="0.3">
      <c r="A2" s="1">
        <v>1001</v>
      </c>
      <c r="B2" s="1" t="s">
        <v>8</v>
      </c>
      <c r="C2" s="2">
        <v>43407</v>
      </c>
      <c r="D2" s="2"/>
      <c r="E2" s="1" t="s">
        <v>40</v>
      </c>
      <c r="F2" s="1" t="s">
        <v>9</v>
      </c>
      <c r="G2" s="1" t="s">
        <v>10</v>
      </c>
      <c r="H2" s="1">
        <v>27</v>
      </c>
      <c r="I2" s="1">
        <f ca="1">IF(ISBLANK(D2),ROUNDUP((TODAY()-C2)/365,1),ROUNDUP((D2-C2)/365,1))</f>
        <v>7.8</v>
      </c>
      <c r="J2" s="1">
        <f>YEAR(C2)</f>
        <v>2018</v>
      </c>
      <c r="K2" s="1" t="str">
        <f>TEXT(C2,"mmm")</f>
        <v>Nov</v>
      </c>
      <c r="L2" s="1" t="str">
        <f>IF(D2="","Active",YEAR(D2))</f>
        <v>Active</v>
      </c>
      <c r="M2" s="1" t="str">
        <f t="shared" ref="M2:M33" si="0">IF(H2&lt;30,"20-29 Years",IF(H2&lt;40,"30-39 Years",IF(H2&lt;50,"40-49 Years","50+ Years")))</f>
        <v>20-29 Years</v>
      </c>
      <c r="N2" s="1" t="str">
        <f t="shared" ref="N2:N33" ca="1" si="1">IF(I2&lt;1,"Less than 1 Year",IF(I2&lt;3,"1-3 Years",IF(I2&lt;5,"3-5 Years","More than 5 Years")))</f>
        <v>More than 5 Years</v>
      </c>
      <c r="O2" s="1" t="str">
        <f t="shared" ref="O2:O33" si="2">IF(F2="Exited","Exited","Active")</f>
        <v>Active</v>
      </c>
    </row>
    <row r="3" spans="1:15" x14ac:dyDescent="0.3">
      <c r="A3" s="1">
        <v>1002</v>
      </c>
      <c r="B3" s="1" t="s">
        <v>11</v>
      </c>
      <c r="C3" s="2">
        <v>44121</v>
      </c>
      <c r="D3" s="2"/>
      <c r="E3" s="1" t="s">
        <v>40</v>
      </c>
      <c r="F3" s="1" t="s">
        <v>9</v>
      </c>
      <c r="G3" s="1" t="s">
        <v>10</v>
      </c>
      <c r="H3" s="1">
        <v>22</v>
      </c>
      <c r="I3" s="1">
        <f t="shared" ref="I3:I66" ca="1" si="3">IF(ISBLANK(D3),ROUNDUP((TODAY()-C3)/365,1),ROUNDUP((D3-C3)/365,1))</f>
        <v>5.8</v>
      </c>
      <c r="J3" s="1">
        <f t="shared" ref="J3:J66" si="4">YEAR(C3)</f>
        <v>2020</v>
      </c>
      <c r="K3" s="1" t="str">
        <f t="shared" ref="K3:K66" si="5">TEXT(C3,"mmm")</f>
        <v>Oct</v>
      </c>
      <c r="L3" s="1" t="str">
        <f t="shared" ref="L3:L66" si="6">IF(D3="","Active",YEAR(D3))</f>
        <v>Active</v>
      </c>
      <c r="M3" s="1" t="str">
        <f t="shared" si="0"/>
        <v>20-29 Years</v>
      </c>
      <c r="N3" s="1" t="str">
        <f t="shared" ca="1" si="1"/>
        <v>More than 5 Years</v>
      </c>
      <c r="O3" s="1" t="str">
        <f t="shared" si="2"/>
        <v>Active</v>
      </c>
    </row>
    <row r="4" spans="1:15" x14ac:dyDescent="0.3">
      <c r="A4" s="1">
        <v>1003</v>
      </c>
      <c r="B4" s="1" t="s">
        <v>11</v>
      </c>
      <c r="C4" s="2">
        <v>44423</v>
      </c>
      <c r="D4" s="2"/>
      <c r="E4" s="1" t="s">
        <v>40</v>
      </c>
      <c r="F4" s="1" t="s">
        <v>9</v>
      </c>
      <c r="G4" s="1" t="s">
        <v>12</v>
      </c>
      <c r="H4" s="1">
        <v>50</v>
      </c>
      <c r="I4" s="1">
        <f t="shared" ca="1" si="3"/>
        <v>5</v>
      </c>
      <c r="J4" s="1">
        <f t="shared" si="4"/>
        <v>2021</v>
      </c>
      <c r="K4" s="1" t="str">
        <f t="shared" si="5"/>
        <v>Aug</v>
      </c>
      <c r="L4" s="1" t="str">
        <f t="shared" si="6"/>
        <v>Active</v>
      </c>
      <c r="M4" s="1" t="str">
        <f t="shared" si="0"/>
        <v>50+ Years</v>
      </c>
      <c r="N4" s="1" t="str">
        <f t="shared" ca="1" si="1"/>
        <v>More than 5 Years</v>
      </c>
      <c r="O4" s="1" t="str">
        <f t="shared" si="2"/>
        <v>Active</v>
      </c>
    </row>
    <row r="5" spans="1:15" x14ac:dyDescent="0.3">
      <c r="A5" s="1">
        <v>1004</v>
      </c>
      <c r="B5" s="1" t="s">
        <v>11</v>
      </c>
      <c r="C5" s="2">
        <v>45087</v>
      </c>
      <c r="D5" s="2"/>
      <c r="E5" s="1" t="s">
        <v>40</v>
      </c>
      <c r="F5" s="1" t="s">
        <v>9</v>
      </c>
      <c r="G5" s="1" t="s">
        <v>12</v>
      </c>
      <c r="H5" s="1">
        <v>24</v>
      </c>
      <c r="I5" s="1">
        <f t="shared" ca="1" si="3"/>
        <v>3.2</v>
      </c>
      <c r="J5" s="1">
        <f t="shared" si="4"/>
        <v>2023</v>
      </c>
      <c r="K5" s="1" t="str">
        <f t="shared" si="5"/>
        <v>Jun</v>
      </c>
      <c r="L5" s="1" t="str">
        <f t="shared" si="6"/>
        <v>Active</v>
      </c>
      <c r="M5" s="1" t="str">
        <f t="shared" si="0"/>
        <v>20-29 Years</v>
      </c>
      <c r="N5" s="1" t="str">
        <f t="shared" ca="1" si="1"/>
        <v>3-5 Years</v>
      </c>
      <c r="O5" s="1" t="str">
        <f t="shared" si="2"/>
        <v>Active</v>
      </c>
    </row>
    <row r="6" spans="1:15" x14ac:dyDescent="0.3">
      <c r="A6" s="1">
        <v>1005</v>
      </c>
      <c r="B6" s="1" t="s">
        <v>11</v>
      </c>
      <c r="C6" s="2">
        <v>43479</v>
      </c>
      <c r="D6" s="2">
        <v>44449</v>
      </c>
      <c r="E6" s="1" t="s">
        <v>13</v>
      </c>
      <c r="F6" s="1" t="s">
        <v>14</v>
      </c>
      <c r="G6" s="1" t="s">
        <v>10</v>
      </c>
      <c r="H6" s="1">
        <v>50</v>
      </c>
      <c r="I6" s="1">
        <f t="shared" ca="1" si="3"/>
        <v>2.7</v>
      </c>
      <c r="J6" s="1">
        <f t="shared" si="4"/>
        <v>2019</v>
      </c>
      <c r="K6" s="1" t="str">
        <f t="shared" si="5"/>
        <v>Jan</v>
      </c>
      <c r="L6" s="1">
        <f t="shared" si="6"/>
        <v>2021</v>
      </c>
      <c r="M6" s="1" t="str">
        <f t="shared" si="0"/>
        <v>50+ Years</v>
      </c>
      <c r="N6" s="1" t="str">
        <f t="shared" ca="1" si="1"/>
        <v>1-3 Years</v>
      </c>
      <c r="O6" s="1" t="str">
        <f t="shared" si="2"/>
        <v>Exited</v>
      </c>
    </row>
    <row r="7" spans="1:15" x14ac:dyDescent="0.3">
      <c r="A7" s="1">
        <v>1006</v>
      </c>
      <c r="B7" s="1" t="s">
        <v>15</v>
      </c>
      <c r="C7" s="2">
        <v>44749</v>
      </c>
      <c r="D7" s="2">
        <v>44972</v>
      </c>
      <c r="E7" s="1" t="s">
        <v>16</v>
      </c>
      <c r="F7" s="1" t="s">
        <v>14</v>
      </c>
      <c r="G7" s="1" t="s">
        <v>10</v>
      </c>
      <c r="H7" s="1">
        <v>28</v>
      </c>
      <c r="I7" s="1">
        <f t="shared" ca="1" si="3"/>
        <v>0.7</v>
      </c>
      <c r="J7" s="1">
        <f t="shared" si="4"/>
        <v>2022</v>
      </c>
      <c r="K7" s="1" t="str">
        <f t="shared" si="5"/>
        <v>Jul</v>
      </c>
      <c r="L7" s="1">
        <f t="shared" si="6"/>
        <v>2023</v>
      </c>
      <c r="M7" s="1" t="str">
        <f t="shared" si="0"/>
        <v>20-29 Years</v>
      </c>
      <c r="N7" s="1" t="str">
        <f t="shared" ca="1" si="1"/>
        <v>Less than 1 Year</v>
      </c>
      <c r="O7" s="1" t="str">
        <f t="shared" si="2"/>
        <v>Exited</v>
      </c>
    </row>
    <row r="8" spans="1:15" x14ac:dyDescent="0.3">
      <c r="A8" s="1">
        <v>1007</v>
      </c>
      <c r="B8" s="1" t="s">
        <v>17</v>
      </c>
      <c r="C8" s="2">
        <v>45457</v>
      </c>
      <c r="D8" s="2"/>
      <c r="E8" s="1" t="s">
        <v>40</v>
      </c>
      <c r="F8" s="1" t="s">
        <v>9</v>
      </c>
      <c r="G8" s="1" t="s">
        <v>10</v>
      </c>
      <c r="H8" s="1">
        <v>40</v>
      </c>
      <c r="I8" s="1">
        <f t="shared" ca="1" si="3"/>
        <v>2.2000000000000002</v>
      </c>
      <c r="J8" s="1">
        <f t="shared" si="4"/>
        <v>2024</v>
      </c>
      <c r="K8" s="1" t="str">
        <f t="shared" si="5"/>
        <v>Jun</v>
      </c>
      <c r="L8" s="1" t="str">
        <f t="shared" si="6"/>
        <v>Active</v>
      </c>
      <c r="M8" s="1" t="str">
        <f t="shared" si="0"/>
        <v>40-49 Years</v>
      </c>
      <c r="N8" s="1" t="str">
        <f t="shared" ca="1" si="1"/>
        <v>1-3 Years</v>
      </c>
      <c r="O8" s="1" t="str">
        <f t="shared" si="2"/>
        <v>Active</v>
      </c>
    </row>
    <row r="9" spans="1:15" x14ac:dyDescent="0.3">
      <c r="A9" s="1">
        <v>1008</v>
      </c>
      <c r="B9" s="1" t="s">
        <v>8</v>
      </c>
      <c r="C9" s="2">
        <v>43304</v>
      </c>
      <c r="D9" s="2"/>
      <c r="E9" s="1" t="s">
        <v>40</v>
      </c>
      <c r="F9" s="1" t="s">
        <v>9</v>
      </c>
      <c r="G9" s="1" t="s">
        <v>18</v>
      </c>
      <c r="H9" s="1">
        <v>32</v>
      </c>
      <c r="I9" s="1">
        <f t="shared" ca="1" si="3"/>
        <v>8.1</v>
      </c>
      <c r="J9" s="1">
        <f t="shared" si="4"/>
        <v>2018</v>
      </c>
      <c r="K9" s="1" t="str">
        <f t="shared" si="5"/>
        <v>Jul</v>
      </c>
      <c r="L9" s="1" t="str">
        <f t="shared" si="6"/>
        <v>Active</v>
      </c>
      <c r="M9" s="1" t="str">
        <f t="shared" si="0"/>
        <v>30-39 Years</v>
      </c>
      <c r="N9" s="1" t="str">
        <f t="shared" ca="1" si="1"/>
        <v>More than 5 Years</v>
      </c>
      <c r="O9" s="1" t="str">
        <f t="shared" si="2"/>
        <v>Active</v>
      </c>
    </row>
    <row r="10" spans="1:15" x14ac:dyDescent="0.3">
      <c r="A10" s="1">
        <v>1009</v>
      </c>
      <c r="B10" s="1" t="s">
        <v>11</v>
      </c>
      <c r="C10" s="2">
        <v>44987</v>
      </c>
      <c r="D10" s="2"/>
      <c r="E10" s="1" t="s">
        <v>40</v>
      </c>
      <c r="F10" s="1" t="s">
        <v>9</v>
      </c>
      <c r="G10" s="1" t="s">
        <v>18</v>
      </c>
      <c r="H10" s="1">
        <v>50</v>
      </c>
      <c r="I10" s="1">
        <f t="shared" ca="1" si="3"/>
        <v>3.5</v>
      </c>
      <c r="J10" s="1">
        <f t="shared" si="4"/>
        <v>2023</v>
      </c>
      <c r="K10" s="1" t="str">
        <f t="shared" si="5"/>
        <v>Mar</v>
      </c>
      <c r="L10" s="1" t="str">
        <f t="shared" si="6"/>
        <v>Active</v>
      </c>
      <c r="M10" s="1" t="str">
        <f t="shared" si="0"/>
        <v>50+ Years</v>
      </c>
      <c r="N10" s="1" t="str">
        <f t="shared" ca="1" si="1"/>
        <v>3-5 Years</v>
      </c>
      <c r="O10" s="1" t="str">
        <f t="shared" si="2"/>
        <v>Active</v>
      </c>
    </row>
    <row r="11" spans="1:15" x14ac:dyDescent="0.3">
      <c r="A11" s="1">
        <v>1010</v>
      </c>
      <c r="B11" s="1" t="s">
        <v>19</v>
      </c>
      <c r="C11" s="2">
        <v>45326</v>
      </c>
      <c r="D11" s="2"/>
      <c r="E11" s="1" t="s">
        <v>40</v>
      </c>
      <c r="F11" s="1" t="s">
        <v>9</v>
      </c>
      <c r="G11" s="1" t="s">
        <v>10</v>
      </c>
      <c r="H11" s="1">
        <v>24</v>
      </c>
      <c r="I11" s="1">
        <f t="shared" ca="1" si="3"/>
        <v>2.5</v>
      </c>
      <c r="J11" s="1">
        <f t="shared" si="4"/>
        <v>2024</v>
      </c>
      <c r="K11" s="1" t="str">
        <f t="shared" si="5"/>
        <v>Feb</v>
      </c>
      <c r="L11" s="1" t="str">
        <f t="shared" si="6"/>
        <v>Active</v>
      </c>
      <c r="M11" s="1" t="str">
        <f t="shared" si="0"/>
        <v>20-29 Years</v>
      </c>
      <c r="N11" s="1" t="str">
        <f t="shared" ca="1" si="1"/>
        <v>1-3 Years</v>
      </c>
      <c r="O11" s="1" t="str">
        <f t="shared" si="2"/>
        <v>Active</v>
      </c>
    </row>
    <row r="12" spans="1:15" x14ac:dyDescent="0.3">
      <c r="A12" s="1">
        <v>1011</v>
      </c>
      <c r="B12" s="1" t="s">
        <v>20</v>
      </c>
      <c r="C12" s="2">
        <v>45474</v>
      </c>
      <c r="D12" s="2"/>
      <c r="E12" s="1" t="s">
        <v>40</v>
      </c>
      <c r="F12" s="1" t="s">
        <v>9</v>
      </c>
      <c r="G12" s="1" t="s">
        <v>12</v>
      </c>
      <c r="H12" s="1">
        <v>36</v>
      </c>
      <c r="I12" s="1">
        <f t="shared" ca="1" si="3"/>
        <v>2.1</v>
      </c>
      <c r="J12" s="1">
        <f t="shared" si="4"/>
        <v>2024</v>
      </c>
      <c r="K12" s="1" t="str">
        <f t="shared" si="5"/>
        <v>Jul</v>
      </c>
      <c r="L12" s="1" t="str">
        <f t="shared" si="6"/>
        <v>Active</v>
      </c>
      <c r="M12" s="1" t="str">
        <f t="shared" si="0"/>
        <v>30-39 Years</v>
      </c>
      <c r="N12" s="1" t="str">
        <f t="shared" ca="1" si="1"/>
        <v>1-3 Years</v>
      </c>
      <c r="O12" s="1" t="str">
        <f t="shared" si="2"/>
        <v>Active</v>
      </c>
    </row>
    <row r="13" spans="1:15" x14ac:dyDescent="0.3">
      <c r="A13" s="1">
        <v>1012</v>
      </c>
      <c r="B13" s="1" t="s">
        <v>17</v>
      </c>
      <c r="C13" s="2">
        <v>44227</v>
      </c>
      <c r="D13" s="2">
        <v>45322</v>
      </c>
      <c r="E13" s="1" t="s">
        <v>16</v>
      </c>
      <c r="F13" s="1" t="s">
        <v>14</v>
      </c>
      <c r="G13" s="1" t="s">
        <v>18</v>
      </c>
      <c r="H13" s="1">
        <v>49</v>
      </c>
      <c r="I13" s="1">
        <f t="shared" ca="1" si="3"/>
        <v>3</v>
      </c>
      <c r="J13" s="1">
        <f t="shared" si="4"/>
        <v>2021</v>
      </c>
      <c r="K13" s="1" t="str">
        <f t="shared" si="5"/>
        <v>Jan</v>
      </c>
      <c r="L13" s="1">
        <f t="shared" si="6"/>
        <v>2024</v>
      </c>
      <c r="M13" s="1" t="str">
        <f t="shared" si="0"/>
        <v>40-49 Years</v>
      </c>
      <c r="N13" s="1" t="str">
        <f t="shared" ca="1" si="1"/>
        <v>3-5 Years</v>
      </c>
      <c r="O13" s="1" t="str">
        <f t="shared" si="2"/>
        <v>Exited</v>
      </c>
    </row>
    <row r="14" spans="1:15" x14ac:dyDescent="0.3">
      <c r="A14" s="1">
        <v>1013</v>
      </c>
      <c r="B14" s="1" t="s">
        <v>8</v>
      </c>
      <c r="C14" s="2">
        <v>43446</v>
      </c>
      <c r="D14" s="2">
        <v>43936</v>
      </c>
      <c r="E14" s="1" t="s">
        <v>21</v>
      </c>
      <c r="F14" s="1" t="s">
        <v>14</v>
      </c>
      <c r="G14" s="1" t="s">
        <v>12</v>
      </c>
      <c r="H14" s="1">
        <v>43</v>
      </c>
      <c r="I14" s="1">
        <f t="shared" ca="1" si="3"/>
        <v>1.4000000000000001</v>
      </c>
      <c r="J14" s="1">
        <f t="shared" si="4"/>
        <v>2018</v>
      </c>
      <c r="K14" s="1" t="str">
        <f t="shared" si="5"/>
        <v>Dec</v>
      </c>
      <c r="L14" s="1">
        <f t="shared" si="6"/>
        <v>2020</v>
      </c>
      <c r="M14" s="1" t="str">
        <f t="shared" si="0"/>
        <v>40-49 Years</v>
      </c>
      <c r="N14" s="1" t="str">
        <f t="shared" ca="1" si="1"/>
        <v>1-3 Years</v>
      </c>
      <c r="O14" s="1" t="str">
        <f t="shared" si="2"/>
        <v>Exited</v>
      </c>
    </row>
    <row r="15" spans="1:15" x14ac:dyDescent="0.3">
      <c r="A15" s="1">
        <v>1014</v>
      </c>
      <c r="B15" s="1" t="s">
        <v>11</v>
      </c>
      <c r="C15" s="2">
        <v>45314</v>
      </c>
      <c r="D15" s="2"/>
      <c r="E15" s="1" t="s">
        <v>40</v>
      </c>
      <c r="F15" s="1" t="s">
        <v>9</v>
      </c>
      <c r="G15" s="1" t="s">
        <v>12</v>
      </c>
      <c r="H15" s="1">
        <v>40</v>
      </c>
      <c r="I15" s="1">
        <f t="shared" ca="1" si="3"/>
        <v>2.6</v>
      </c>
      <c r="J15" s="1">
        <f t="shared" si="4"/>
        <v>2024</v>
      </c>
      <c r="K15" s="1" t="str">
        <f t="shared" si="5"/>
        <v>Jan</v>
      </c>
      <c r="L15" s="1" t="str">
        <f t="shared" si="6"/>
        <v>Active</v>
      </c>
      <c r="M15" s="1" t="str">
        <f t="shared" si="0"/>
        <v>40-49 Years</v>
      </c>
      <c r="N15" s="1" t="str">
        <f t="shared" ca="1" si="1"/>
        <v>1-3 Years</v>
      </c>
      <c r="O15" s="1" t="str">
        <f t="shared" si="2"/>
        <v>Active</v>
      </c>
    </row>
    <row r="16" spans="1:15" x14ac:dyDescent="0.3">
      <c r="A16" s="1">
        <v>1015</v>
      </c>
      <c r="B16" s="1" t="s">
        <v>11</v>
      </c>
      <c r="C16" s="2">
        <v>43123</v>
      </c>
      <c r="D16" s="2"/>
      <c r="E16" s="1" t="s">
        <v>40</v>
      </c>
      <c r="F16" s="1" t="s">
        <v>9</v>
      </c>
      <c r="G16" s="1" t="s">
        <v>18</v>
      </c>
      <c r="H16" s="1">
        <v>42</v>
      </c>
      <c r="I16" s="1">
        <f t="shared" ca="1" si="3"/>
        <v>8.6</v>
      </c>
      <c r="J16" s="1">
        <f t="shared" si="4"/>
        <v>2018</v>
      </c>
      <c r="K16" s="1" t="str">
        <f t="shared" si="5"/>
        <v>Jan</v>
      </c>
      <c r="L16" s="1" t="str">
        <f t="shared" si="6"/>
        <v>Active</v>
      </c>
      <c r="M16" s="1" t="str">
        <f t="shared" si="0"/>
        <v>40-49 Years</v>
      </c>
      <c r="N16" s="1" t="str">
        <f t="shared" ca="1" si="1"/>
        <v>More than 5 Years</v>
      </c>
      <c r="O16" s="1" t="str">
        <f t="shared" si="2"/>
        <v>Active</v>
      </c>
    </row>
    <row r="17" spans="1:15" x14ac:dyDescent="0.3">
      <c r="A17" s="1">
        <v>1016</v>
      </c>
      <c r="B17" s="1" t="s">
        <v>8</v>
      </c>
      <c r="C17" s="2">
        <v>43717</v>
      </c>
      <c r="D17" s="2">
        <v>44677</v>
      </c>
      <c r="E17" s="1" t="s">
        <v>22</v>
      </c>
      <c r="F17" s="1" t="s">
        <v>14</v>
      </c>
      <c r="G17" s="1" t="s">
        <v>18</v>
      </c>
      <c r="H17" s="1">
        <v>35</v>
      </c>
      <c r="I17" s="1">
        <f t="shared" ca="1" si="3"/>
        <v>2.7</v>
      </c>
      <c r="J17" s="1">
        <f t="shared" si="4"/>
        <v>2019</v>
      </c>
      <c r="K17" s="1" t="str">
        <f t="shared" si="5"/>
        <v>Sep</v>
      </c>
      <c r="L17" s="1">
        <f t="shared" si="6"/>
        <v>2022</v>
      </c>
      <c r="M17" s="1" t="str">
        <f t="shared" si="0"/>
        <v>30-39 Years</v>
      </c>
      <c r="N17" s="1" t="str">
        <f t="shared" ca="1" si="1"/>
        <v>1-3 Years</v>
      </c>
      <c r="O17" s="1" t="str">
        <f t="shared" si="2"/>
        <v>Exited</v>
      </c>
    </row>
    <row r="18" spans="1:15" x14ac:dyDescent="0.3">
      <c r="A18" s="1">
        <v>1017</v>
      </c>
      <c r="B18" s="1" t="s">
        <v>17</v>
      </c>
      <c r="C18" s="2">
        <v>43534</v>
      </c>
      <c r="D18" s="2">
        <v>44117</v>
      </c>
      <c r="E18" s="1" t="s">
        <v>21</v>
      </c>
      <c r="F18" s="1" t="s">
        <v>14</v>
      </c>
      <c r="G18" s="1" t="s">
        <v>10</v>
      </c>
      <c r="H18" s="1">
        <v>31</v>
      </c>
      <c r="I18" s="1">
        <f t="shared" ca="1" si="3"/>
        <v>1.6</v>
      </c>
      <c r="J18" s="1">
        <f t="shared" si="4"/>
        <v>2019</v>
      </c>
      <c r="K18" s="1" t="str">
        <f t="shared" si="5"/>
        <v>Mar</v>
      </c>
      <c r="L18" s="1">
        <f t="shared" si="6"/>
        <v>2020</v>
      </c>
      <c r="M18" s="1" t="str">
        <f t="shared" si="0"/>
        <v>30-39 Years</v>
      </c>
      <c r="N18" s="1" t="str">
        <f t="shared" ca="1" si="1"/>
        <v>1-3 Years</v>
      </c>
      <c r="O18" s="1" t="str">
        <f t="shared" si="2"/>
        <v>Exited</v>
      </c>
    </row>
    <row r="19" spans="1:15" x14ac:dyDescent="0.3">
      <c r="A19" s="1">
        <v>1018</v>
      </c>
      <c r="B19" s="1" t="s">
        <v>20</v>
      </c>
      <c r="C19" s="2">
        <v>44619</v>
      </c>
      <c r="D19" s="2"/>
      <c r="E19" s="1" t="s">
        <v>40</v>
      </c>
      <c r="F19" s="1" t="s">
        <v>9</v>
      </c>
      <c r="G19" s="1" t="s">
        <v>18</v>
      </c>
      <c r="H19" s="1">
        <v>51</v>
      </c>
      <c r="I19" s="1">
        <f t="shared" ca="1" si="3"/>
        <v>4.5</v>
      </c>
      <c r="J19" s="1">
        <f t="shared" si="4"/>
        <v>2022</v>
      </c>
      <c r="K19" s="1" t="str">
        <f t="shared" si="5"/>
        <v>Feb</v>
      </c>
      <c r="L19" s="1" t="str">
        <f t="shared" si="6"/>
        <v>Active</v>
      </c>
      <c r="M19" s="1" t="str">
        <f t="shared" si="0"/>
        <v>50+ Years</v>
      </c>
      <c r="N19" s="1" t="str">
        <f t="shared" ca="1" si="1"/>
        <v>3-5 Years</v>
      </c>
      <c r="O19" s="1" t="str">
        <f t="shared" si="2"/>
        <v>Active</v>
      </c>
    </row>
    <row r="20" spans="1:15" x14ac:dyDescent="0.3">
      <c r="A20" s="1">
        <v>1019</v>
      </c>
      <c r="B20" s="1" t="s">
        <v>8</v>
      </c>
      <c r="C20" s="2">
        <v>45485</v>
      </c>
      <c r="D20" s="2"/>
      <c r="E20" s="1" t="s">
        <v>40</v>
      </c>
      <c r="F20" s="1" t="s">
        <v>9</v>
      </c>
      <c r="G20" s="1" t="s">
        <v>18</v>
      </c>
      <c r="H20" s="1">
        <v>48</v>
      </c>
      <c r="I20" s="1">
        <f t="shared" ca="1" si="3"/>
        <v>2.1</v>
      </c>
      <c r="J20" s="1">
        <f t="shared" si="4"/>
        <v>2024</v>
      </c>
      <c r="K20" s="1" t="str">
        <f t="shared" si="5"/>
        <v>Jul</v>
      </c>
      <c r="L20" s="1" t="str">
        <f t="shared" si="6"/>
        <v>Active</v>
      </c>
      <c r="M20" s="1" t="str">
        <f t="shared" si="0"/>
        <v>40-49 Years</v>
      </c>
      <c r="N20" s="1" t="str">
        <f t="shared" ca="1" si="1"/>
        <v>1-3 Years</v>
      </c>
      <c r="O20" s="1" t="str">
        <f t="shared" si="2"/>
        <v>Active</v>
      </c>
    </row>
    <row r="21" spans="1:15" x14ac:dyDescent="0.3">
      <c r="A21" s="1">
        <v>1020</v>
      </c>
      <c r="B21" s="1" t="s">
        <v>17</v>
      </c>
      <c r="C21" s="2">
        <v>43588</v>
      </c>
      <c r="D21" s="2">
        <v>44896</v>
      </c>
      <c r="E21" s="1" t="s">
        <v>23</v>
      </c>
      <c r="F21" s="1" t="s">
        <v>14</v>
      </c>
      <c r="G21" s="1" t="s">
        <v>10</v>
      </c>
      <c r="H21" s="1">
        <v>41</v>
      </c>
      <c r="I21" s="1">
        <f t="shared" ca="1" si="3"/>
        <v>3.6</v>
      </c>
      <c r="J21" s="1">
        <f t="shared" si="4"/>
        <v>2019</v>
      </c>
      <c r="K21" s="1" t="str">
        <f t="shared" si="5"/>
        <v>May</v>
      </c>
      <c r="L21" s="1">
        <f t="shared" si="6"/>
        <v>2022</v>
      </c>
      <c r="M21" s="1" t="str">
        <f t="shared" si="0"/>
        <v>40-49 Years</v>
      </c>
      <c r="N21" s="1" t="str">
        <f t="shared" ca="1" si="1"/>
        <v>3-5 Years</v>
      </c>
      <c r="O21" s="1" t="str">
        <f t="shared" si="2"/>
        <v>Exited</v>
      </c>
    </row>
    <row r="22" spans="1:15" x14ac:dyDescent="0.3">
      <c r="A22" s="1">
        <v>1021</v>
      </c>
      <c r="B22" s="1" t="s">
        <v>20</v>
      </c>
      <c r="C22" s="2">
        <v>44250</v>
      </c>
      <c r="D22" s="2">
        <v>45392</v>
      </c>
      <c r="E22" s="1" t="s">
        <v>16</v>
      </c>
      <c r="F22" s="1" t="s">
        <v>14</v>
      </c>
      <c r="G22" s="1" t="s">
        <v>18</v>
      </c>
      <c r="H22" s="1">
        <v>35</v>
      </c>
      <c r="I22" s="1">
        <f t="shared" ca="1" si="3"/>
        <v>3.2</v>
      </c>
      <c r="J22" s="1">
        <f t="shared" si="4"/>
        <v>2021</v>
      </c>
      <c r="K22" s="1" t="str">
        <f t="shared" si="5"/>
        <v>Feb</v>
      </c>
      <c r="L22" s="1">
        <f t="shared" si="6"/>
        <v>2024</v>
      </c>
      <c r="M22" s="1" t="str">
        <f t="shared" si="0"/>
        <v>30-39 Years</v>
      </c>
      <c r="N22" s="1" t="str">
        <f t="shared" ca="1" si="1"/>
        <v>3-5 Years</v>
      </c>
      <c r="O22" s="1" t="str">
        <f t="shared" si="2"/>
        <v>Exited</v>
      </c>
    </row>
    <row r="23" spans="1:15" x14ac:dyDescent="0.3">
      <c r="A23" s="1">
        <v>1022</v>
      </c>
      <c r="B23" s="1" t="s">
        <v>15</v>
      </c>
      <c r="C23" s="2">
        <v>45244</v>
      </c>
      <c r="D23" s="2">
        <v>45446</v>
      </c>
      <c r="E23" s="1" t="s">
        <v>22</v>
      </c>
      <c r="F23" s="1" t="s">
        <v>14</v>
      </c>
      <c r="G23" s="1" t="s">
        <v>18</v>
      </c>
      <c r="H23" s="1">
        <v>24</v>
      </c>
      <c r="I23" s="1">
        <f t="shared" ca="1" si="3"/>
        <v>0.6</v>
      </c>
      <c r="J23" s="1">
        <f t="shared" si="4"/>
        <v>2023</v>
      </c>
      <c r="K23" s="1" t="str">
        <f t="shared" si="5"/>
        <v>Nov</v>
      </c>
      <c r="L23" s="1">
        <f t="shared" si="6"/>
        <v>2024</v>
      </c>
      <c r="M23" s="1" t="str">
        <f t="shared" si="0"/>
        <v>20-29 Years</v>
      </c>
      <c r="N23" s="1" t="str">
        <f t="shared" ca="1" si="1"/>
        <v>Less than 1 Year</v>
      </c>
      <c r="O23" s="1" t="str">
        <f t="shared" si="2"/>
        <v>Exited</v>
      </c>
    </row>
    <row r="24" spans="1:15" x14ac:dyDescent="0.3">
      <c r="A24" s="1">
        <v>1023</v>
      </c>
      <c r="B24" s="1" t="s">
        <v>11</v>
      </c>
      <c r="C24" s="2">
        <v>45256</v>
      </c>
      <c r="D24" s="2"/>
      <c r="E24" s="1" t="s">
        <v>40</v>
      </c>
      <c r="F24" s="1" t="s">
        <v>9</v>
      </c>
      <c r="G24" s="1" t="s">
        <v>18</v>
      </c>
      <c r="H24" s="1">
        <v>41</v>
      </c>
      <c r="I24" s="1">
        <f t="shared" ca="1" si="3"/>
        <v>2.7</v>
      </c>
      <c r="J24" s="1">
        <f t="shared" si="4"/>
        <v>2023</v>
      </c>
      <c r="K24" s="1" t="str">
        <f t="shared" si="5"/>
        <v>Nov</v>
      </c>
      <c r="L24" s="1" t="str">
        <f t="shared" si="6"/>
        <v>Active</v>
      </c>
      <c r="M24" s="1" t="str">
        <f t="shared" si="0"/>
        <v>40-49 Years</v>
      </c>
      <c r="N24" s="1" t="str">
        <f t="shared" ca="1" si="1"/>
        <v>1-3 Years</v>
      </c>
      <c r="O24" s="1" t="str">
        <f t="shared" si="2"/>
        <v>Active</v>
      </c>
    </row>
    <row r="25" spans="1:15" x14ac:dyDescent="0.3">
      <c r="A25" s="1">
        <v>1024</v>
      </c>
      <c r="B25" s="1" t="s">
        <v>15</v>
      </c>
      <c r="C25" s="2">
        <v>45465</v>
      </c>
      <c r="D25" s="2"/>
      <c r="E25" s="1" t="s">
        <v>40</v>
      </c>
      <c r="F25" s="1" t="s">
        <v>9</v>
      </c>
      <c r="G25" s="1" t="s">
        <v>18</v>
      </c>
      <c r="H25" s="1">
        <v>40</v>
      </c>
      <c r="I25" s="1">
        <f t="shared" ca="1" si="3"/>
        <v>2.2000000000000002</v>
      </c>
      <c r="J25" s="1">
        <f t="shared" si="4"/>
        <v>2024</v>
      </c>
      <c r="K25" s="1" t="str">
        <f t="shared" si="5"/>
        <v>Jun</v>
      </c>
      <c r="L25" s="1" t="str">
        <f t="shared" si="6"/>
        <v>Active</v>
      </c>
      <c r="M25" s="1" t="str">
        <f t="shared" si="0"/>
        <v>40-49 Years</v>
      </c>
      <c r="N25" s="1" t="str">
        <f t="shared" ca="1" si="1"/>
        <v>1-3 Years</v>
      </c>
      <c r="O25" s="1" t="str">
        <f t="shared" si="2"/>
        <v>Active</v>
      </c>
    </row>
    <row r="26" spans="1:15" x14ac:dyDescent="0.3">
      <c r="A26" s="1">
        <v>1025</v>
      </c>
      <c r="B26" s="1" t="s">
        <v>8</v>
      </c>
      <c r="C26" s="2">
        <v>43597</v>
      </c>
      <c r="D26" s="2"/>
      <c r="E26" s="1" t="s">
        <v>40</v>
      </c>
      <c r="F26" s="1" t="s">
        <v>9</v>
      </c>
      <c r="G26" s="1" t="s">
        <v>10</v>
      </c>
      <c r="H26" s="1">
        <v>48</v>
      </c>
      <c r="I26" s="1">
        <f t="shared" ca="1" si="3"/>
        <v>7.3</v>
      </c>
      <c r="J26" s="1">
        <f t="shared" si="4"/>
        <v>2019</v>
      </c>
      <c r="K26" s="1" t="str">
        <f t="shared" si="5"/>
        <v>May</v>
      </c>
      <c r="L26" s="1" t="str">
        <f t="shared" si="6"/>
        <v>Active</v>
      </c>
      <c r="M26" s="1" t="str">
        <f t="shared" si="0"/>
        <v>40-49 Years</v>
      </c>
      <c r="N26" s="1" t="str">
        <f t="shared" ca="1" si="1"/>
        <v>More than 5 Years</v>
      </c>
      <c r="O26" s="1" t="str">
        <f t="shared" si="2"/>
        <v>Active</v>
      </c>
    </row>
    <row r="27" spans="1:15" x14ac:dyDescent="0.3">
      <c r="A27" s="1">
        <v>1026</v>
      </c>
      <c r="B27" s="1" t="s">
        <v>11</v>
      </c>
      <c r="C27" s="2">
        <v>44866</v>
      </c>
      <c r="D27" s="2"/>
      <c r="E27" s="1" t="s">
        <v>40</v>
      </c>
      <c r="F27" s="1" t="s">
        <v>9</v>
      </c>
      <c r="G27" s="1" t="s">
        <v>10</v>
      </c>
      <c r="H27" s="1">
        <v>52</v>
      </c>
      <c r="I27" s="1">
        <f t="shared" ca="1" si="3"/>
        <v>3.8000000000000003</v>
      </c>
      <c r="J27" s="1">
        <f t="shared" si="4"/>
        <v>2022</v>
      </c>
      <c r="K27" s="1" t="str">
        <f t="shared" si="5"/>
        <v>Nov</v>
      </c>
      <c r="L27" s="1" t="str">
        <f t="shared" si="6"/>
        <v>Active</v>
      </c>
      <c r="M27" s="1" t="str">
        <f t="shared" si="0"/>
        <v>50+ Years</v>
      </c>
      <c r="N27" s="1" t="str">
        <f t="shared" ca="1" si="1"/>
        <v>3-5 Years</v>
      </c>
      <c r="O27" s="1" t="str">
        <f t="shared" si="2"/>
        <v>Active</v>
      </c>
    </row>
    <row r="28" spans="1:15" x14ac:dyDescent="0.3">
      <c r="A28" s="1">
        <v>1027</v>
      </c>
      <c r="B28" s="1" t="s">
        <v>19</v>
      </c>
      <c r="C28" s="2">
        <v>44006</v>
      </c>
      <c r="D28" s="2">
        <v>44463</v>
      </c>
      <c r="E28" s="1" t="s">
        <v>24</v>
      </c>
      <c r="F28" s="1" t="s">
        <v>14</v>
      </c>
      <c r="G28" s="1" t="s">
        <v>18</v>
      </c>
      <c r="H28" s="1">
        <v>33</v>
      </c>
      <c r="I28" s="1">
        <f t="shared" ca="1" si="3"/>
        <v>1.3</v>
      </c>
      <c r="J28" s="1">
        <f t="shared" si="4"/>
        <v>2020</v>
      </c>
      <c r="K28" s="1" t="str">
        <f t="shared" si="5"/>
        <v>Jun</v>
      </c>
      <c r="L28" s="1">
        <f t="shared" si="6"/>
        <v>2021</v>
      </c>
      <c r="M28" s="1" t="str">
        <f t="shared" si="0"/>
        <v>30-39 Years</v>
      </c>
      <c r="N28" s="1" t="str">
        <f t="shared" ca="1" si="1"/>
        <v>1-3 Years</v>
      </c>
      <c r="O28" s="1" t="str">
        <f t="shared" si="2"/>
        <v>Exited</v>
      </c>
    </row>
    <row r="29" spans="1:15" x14ac:dyDescent="0.3">
      <c r="A29" s="1">
        <v>1028</v>
      </c>
      <c r="B29" s="1" t="s">
        <v>15</v>
      </c>
      <c r="C29" s="2">
        <v>45095</v>
      </c>
      <c r="D29" s="2"/>
      <c r="E29" s="1" t="s">
        <v>40</v>
      </c>
      <c r="F29" s="1" t="s">
        <v>9</v>
      </c>
      <c r="G29" s="1" t="s">
        <v>12</v>
      </c>
      <c r="H29" s="1">
        <v>51</v>
      </c>
      <c r="I29" s="1">
        <f t="shared" ca="1" si="3"/>
        <v>3.2</v>
      </c>
      <c r="J29" s="1">
        <f t="shared" si="4"/>
        <v>2023</v>
      </c>
      <c r="K29" s="1" t="str">
        <f t="shared" si="5"/>
        <v>Jun</v>
      </c>
      <c r="L29" s="1" t="str">
        <f t="shared" si="6"/>
        <v>Active</v>
      </c>
      <c r="M29" s="1" t="str">
        <f t="shared" si="0"/>
        <v>50+ Years</v>
      </c>
      <c r="N29" s="1" t="str">
        <f t="shared" ca="1" si="1"/>
        <v>3-5 Years</v>
      </c>
      <c r="O29" s="1" t="str">
        <f t="shared" si="2"/>
        <v>Active</v>
      </c>
    </row>
    <row r="30" spans="1:15" x14ac:dyDescent="0.3">
      <c r="A30" s="1">
        <v>1029</v>
      </c>
      <c r="B30" s="1" t="s">
        <v>8</v>
      </c>
      <c r="C30" s="2">
        <v>44360</v>
      </c>
      <c r="D30" s="2">
        <v>44755</v>
      </c>
      <c r="E30" s="1" t="s">
        <v>21</v>
      </c>
      <c r="F30" s="1" t="s">
        <v>14</v>
      </c>
      <c r="G30" s="1" t="s">
        <v>12</v>
      </c>
      <c r="H30" s="1">
        <v>46</v>
      </c>
      <c r="I30" s="1">
        <f t="shared" ca="1" si="3"/>
        <v>1.1000000000000001</v>
      </c>
      <c r="J30" s="1">
        <f t="shared" si="4"/>
        <v>2021</v>
      </c>
      <c r="K30" s="1" t="str">
        <f t="shared" si="5"/>
        <v>Jun</v>
      </c>
      <c r="L30" s="1">
        <f t="shared" si="6"/>
        <v>2022</v>
      </c>
      <c r="M30" s="1" t="str">
        <f t="shared" si="0"/>
        <v>40-49 Years</v>
      </c>
      <c r="N30" s="1" t="str">
        <f t="shared" ca="1" si="1"/>
        <v>1-3 Years</v>
      </c>
      <c r="O30" s="1" t="str">
        <f t="shared" si="2"/>
        <v>Exited</v>
      </c>
    </row>
    <row r="31" spans="1:15" x14ac:dyDescent="0.3">
      <c r="A31" s="1">
        <v>1030</v>
      </c>
      <c r="B31" s="1" t="s">
        <v>15</v>
      </c>
      <c r="C31" s="2">
        <v>43419</v>
      </c>
      <c r="D31" s="2">
        <v>44303</v>
      </c>
      <c r="E31" s="1" t="s">
        <v>13</v>
      </c>
      <c r="F31" s="1" t="s">
        <v>14</v>
      </c>
      <c r="G31" s="1" t="s">
        <v>18</v>
      </c>
      <c r="H31" s="1">
        <v>53</v>
      </c>
      <c r="I31" s="1">
        <f t="shared" ca="1" si="3"/>
        <v>2.5</v>
      </c>
      <c r="J31" s="1">
        <f t="shared" si="4"/>
        <v>2018</v>
      </c>
      <c r="K31" s="1" t="str">
        <f t="shared" si="5"/>
        <v>Nov</v>
      </c>
      <c r="L31" s="1">
        <f t="shared" si="6"/>
        <v>2021</v>
      </c>
      <c r="M31" s="1" t="str">
        <f t="shared" si="0"/>
        <v>50+ Years</v>
      </c>
      <c r="N31" s="1" t="str">
        <f t="shared" ca="1" si="1"/>
        <v>1-3 Years</v>
      </c>
      <c r="O31" s="1" t="str">
        <f t="shared" si="2"/>
        <v>Exited</v>
      </c>
    </row>
    <row r="32" spans="1:15" x14ac:dyDescent="0.3">
      <c r="A32" s="1">
        <v>1031</v>
      </c>
      <c r="B32" s="1" t="s">
        <v>20</v>
      </c>
      <c r="C32" s="2">
        <v>44249</v>
      </c>
      <c r="D32" s="2"/>
      <c r="E32" s="1" t="s">
        <v>40</v>
      </c>
      <c r="F32" s="1" t="s">
        <v>9</v>
      </c>
      <c r="G32" s="1" t="s">
        <v>12</v>
      </c>
      <c r="H32" s="1">
        <v>35</v>
      </c>
      <c r="I32" s="1">
        <f t="shared" ca="1" si="3"/>
        <v>5.5</v>
      </c>
      <c r="J32" s="1">
        <f t="shared" si="4"/>
        <v>2021</v>
      </c>
      <c r="K32" s="1" t="str">
        <f t="shared" si="5"/>
        <v>Feb</v>
      </c>
      <c r="L32" s="1" t="str">
        <f t="shared" si="6"/>
        <v>Active</v>
      </c>
      <c r="M32" s="1" t="str">
        <f t="shared" si="0"/>
        <v>30-39 Years</v>
      </c>
      <c r="N32" s="1" t="str">
        <f t="shared" ca="1" si="1"/>
        <v>More than 5 Years</v>
      </c>
      <c r="O32" s="1" t="str">
        <f t="shared" si="2"/>
        <v>Active</v>
      </c>
    </row>
    <row r="33" spans="1:15" x14ac:dyDescent="0.3">
      <c r="A33" s="1">
        <v>1032</v>
      </c>
      <c r="B33" s="1" t="s">
        <v>8</v>
      </c>
      <c r="C33" s="2">
        <v>45533</v>
      </c>
      <c r="D33" s="2"/>
      <c r="E33" s="1" t="s">
        <v>40</v>
      </c>
      <c r="F33" s="1" t="s">
        <v>9</v>
      </c>
      <c r="G33" s="1" t="s">
        <v>12</v>
      </c>
      <c r="H33" s="1">
        <v>32</v>
      </c>
      <c r="I33" s="1">
        <f t="shared" ca="1" si="3"/>
        <v>2</v>
      </c>
      <c r="J33" s="1">
        <f t="shared" si="4"/>
        <v>2024</v>
      </c>
      <c r="K33" s="1" t="str">
        <f t="shared" si="5"/>
        <v>Aug</v>
      </c>
      <c r="L33" s="1" t="str">
        <f t="shared" si="6"/>
        <v>Active</v>
      </c>
      <c r="M33" s="1" t="str">
        <f t="shared" si="0"/>
        <v>30-39 Years</v>
      </c>
      <c r="N33" s="1" t="str">
        <f t="shared" ca="1" si="1"/>
        <v>1-3 Years</v>
      </c>
      <c r="O33" s="1" t="str">
        <f t="shared" si="2"/>
        <v>Active</v>
      </c>
    </row>
    <row r="34" spans="1:15" x14ac:dyDescent="0.3">
      <c r="A34" s="1">
        <v>1033</v>
      </c>
      <c r="B34" s="1" t="s">
        <v>20</v>
      </c>
      <c r="C34" s="2">
        <v>44377</v>
      </c>
      <c r="D34" s="2"/>
      <c r="E34" s="1" t="s">
        <v>40</v>
      </c>
      <c r="F34" s="1" t="s">
        <v>9</v>
      </c>
      <c r="G34" s="1" t="s">
        <v>10</v>
      </c>
      <c r="H34" s="1">
        <v>46</v>
      </c>
      <c r="I34" s="1">
        <f t="shared" ca="1" si="3"/>
        <v>5.0999999999999996</v>
      </c>
      <c r="J34" s="1">
        <f t="shared" si="4"/>
        <v>2021</v>
      </c>
      <c r="K34" s="1" t="str">
        <f t="shared" si="5"/>
        <v>Jun</v>
      </c>
      <c r="L34" s="1" t="str">
        <f t="shared" si="6"/>
        <v>Active</v>
      </c>
      <c r="M34" s="1" t="str">
        <f t="shared" ref="M34:M65" si="7">IF(H34&lt;30,"20-29 Years",IF(H34&lt;40,"30-39 Years",IF(H34&lt;50,"40-49 Years","50+ Years")))</f>
        <v>40-49 Years</v>
      </c>
      <c r="N34" s="1" t="str">
        <f t="shared" ref="N34:N65" ca="1" si="8">IF(I34&lt;1,"Less than 1 Year",IF(I34&lt;3,"1-3 Years",IF(I34&lt;5,"3-5 Years","More than 5 Years")))</f>
        <v>More than 5 Years</v>
      </c>
      <c r="O34" s="1" t="str">
        <f t="shared" ref="O34:O65" si="9">IF(F34="Exited","Exited","Active")</f>
        <v>Active</v>
      </c>
    </row>
    <row r="35" spans="1:15" x14ac:dyDescent="0.3">
      <c r="A35" s="1">
        <v>1034</v>
      </c>
      <c r="B35" s="1" t="s">
        <v>8</v>
      </c>
      <c r="C35" s="2">
        <v>44088</v>
      </c>
      <c r="D35" s="2"/>
      <c r="E35" s="1" t="s">
        <v>40</v>
      </c>
      <c r="F35" s="1" t="s">
        <v>9</v>
      </c>
      <c r="G35" s="1" t="s">
        <v>12</v>
      </c>
      <c r="H35" s="1">
        <v>50</v>
      </c>
      <c r="I35" s="1">
        <f t="shared" ca="1" si="3"/>
        <v>5.8999999999999995</v>
      </c>
      <c r="J35" s="1">
        <f t="shared" si="4"/>
        <v>2020</v>
      </c>
      <c r="K35" s="1" t="str">
        <f t="shared" si="5"/>
        <v>Sep</v>
      </c>
      <c r="L35" s="1" t="str">
        <f t="shared" si="6"/>
        <v>Active</v>
      </c>
      <c r="M35" s="1" t="str">
        <f t="shared" si="7"/>
        <v>50+ Years</v>
      </c>
      <c r="N35" s="1" t="str">
        <f t="shared" ca="1" si="8"/>
        <v>More than 5 Years</v>
      </c>
      <c r="O35" s="1" t="str">
        <f t="shared" si="9"/>
        <v>Active</v>
      </c>
    </row>
    <row r="36" spans="1:15" x14ac:dyDescent="0.3">
      <c r="A36" s="1">
        <v>1035</v>
      </c>
      <c r="B36" s="1" t="s">
        <v>15</v>
      </c>
      <c r="C36" s="2">
        <v>43373</v>
      </c>
      <c r="D36" s="2">
        <v>44825</v>
      </c>
      <c r="E36" s="1" t="s">
        <v>16</v>
      </c>
      <c r="F36" s="1" t="s">
        <v>14</v>
      </c>
      <c r="G36" s="1" t="s">
        <v>12</v>
      </c>
      <c r="H36" s="1">
        <v>32</v>
      </c>
      <c r="I36" s="1">
        <f t="shared" ca="1" si="3"/>
        <v>4</v>
      </c>
      <c r="J36" s="1">
        <f t="shared" si="4"/>
        <v>2018</v>
      </c>
      <c r="K36" s="1" t="str">
        <f t="shared" si="5"/>
        <v>Sep</v>
      </c>
      <c r="L36" s="1">
        <f t="shared" si="6"/>
        <v>2022</v>
      </c>
      <c r="M36" s="1" t="str">
        <f t="shared" si="7"/>
        <v>30-39 Years</v>
      </c>
      <c r="N36" s="1" t="str">
        <f t="shared" ca="1" si="8"/>
        <v>3-5 Years</v>
      </c>
      <c r="O36" s="1" t="str">
        <f t="shared" si="9"/>
        <v>Exited</v>
      </c>
    </row>
    <row r="37" spans="1:15" x14ac:dyDescent="0.3">
      <c r="A37" s="1">
        <v>1036</v>
      </c>
      <c r="B37" s="1" t="s">
        <v>15</v>
      </c>
      <c r="C37" s="2">
        <v>43314</v>
      </c>
      <c r="D37" s="2"/>
      <c r="E37" s="1" t="s">
        <v>40</v>
      </c>
      <c r="F37" s="1" t="s">
        <v>9</v>
      </c>
      <c r="G37" s="1" t="s">
        <v>18</v>
      </c>
      <c r="H37" s="1">
        <v>29</v>
      </c>
      <c r="I37" s="1">
        <f t="shared" ca="1" si="3"/>
        <v>8.1</v>
      </c>
      <c r="J37" s="1">
        <f t="shared" si="4"/>
        <v>2018</v>
      </c>
      <c r="K37" s="1" t="str">
        <f t="shared" si="5"/>
        <v>Aug</v>
      </c>
      <c r="L37" s="1" t="str">
        <f t="shared" si="6"/>
        <v>Active</v>
      </c>
      <c r="M37" s="1" t="str">
        <f t="shared" si="7"/>
        <v>20-29 Years</v>
      </c>
      <c r="N37" s="1" t="str">
        <f t="shared" ca="1" si="8"/>
        <v>More than 5 Years</v>
      </c>
      <c r="O37" s="1" t="str">
        <f t="shared" si="9"/>
        <v>Active</v>
      </c>
    </row>
    <row r="38" spans="1:15" x14ac:dyDescent="0.3">
      <c r="A38" s="1">
        <v>1037</v>
      </c>
      <c r="B38" s="1" t="s">
        <v>15</v>
      </c>
      <c r="C38" s="2">
        <v>44418</v>
      </c>
      <c r="D38" s="2">
        <v>45628</v>
      </c>
      <c r="E38" s="1" t="s">
        <v>13</v>
      </c>
      <c r="F38" s="1" t="s">
        <v>14</v>
      </c>
      <c r="G38" s="1" t="s">
        <v>18</v>
      </c>
      <c r="H38" s="1">
        <v>27</v>
      </c>
      <c r="I38" s="1">
        <f t="shared" ca="1" si="3"/>
        <v>3.4</v>
      </c>
      <c r="J38" s="1">
        <f t="shared" si="4"/>
        <v>2021</v>
      </c>
      <c r="K38" s="1" t="str">
        <f t="shared" si="5"/>
        <v>Aug</v>
      </c>
      <c r="L38" s="1">
        <f t="shared" si="6"/>
        <v>2024</v>
      </c>
      <c r="M38" s="1" t="str">
        <f t="shared" si="7"/>
        <v>20-29 Years</v>
      </c>
      <c r="N38" s="1" t="str">
        <f t="shared" ca="1" si="8"/>
        <v>3-5 Years</v>
      </c>
      <c r="O38" s="1" t="str">
        <f t="shared" si="9"/>
        <v>Exited</v>
      </c>
    </row>
    <row r="39" spans="1:15" x14ac:dyDescent="0.3">
      <c r="A39" s="1">
        <v>1038</v>
      </c>
      <c r="B39" s="1" t="s">
        <v>19</v>
      </c>
      <c r="C39" s="2">
        <v>44324</v>
      </c>
      <c r="D39" s="2">
        <v>45076</v>
      </c>
      <c r="E39" s="1" t="s">
        <v>22</v>
      </c>
      <c r="F39" s="1" t="s">
        <v>14</v>
      </c>
      <c r="G39" s="1" t="s">
        <v>10</v>
      </c>
      <c r="H39" s="1">
        <v>31</v>
      </c>
      <c r="I39" s="1">
        <f t="shared" ca="1" si="3"/>
        <v>2.1</v>
      </c>
      <c r="J39" s="1">
        <f t="shared" si="4"/>
        <v>2021</v>
      </c>
      <c r="K39" s="1" t="str">
        <f t="shared" si="5"/>
        <v>May</v>
      </c>
      <c r="L39" s="1">
        <f t="shared" si="6"/>
        <v>2023</v>
      </c>
      <c r="M39" s="1" t="str">
        <f t="shared" si="7"/>
        <v>30-39 Years</v>
      </c>
      <c r="N39" s="1" t="str">
        <f t="shared" ca="1" si="8"/>
        <v>1-3 Years</v>
      </c>
      <c r="O39" s="1" t="str">
        <f t="shared" si="9"/>
        <v>Exited</v>
      </c>
    </row>
    <row r="40" spans="1:15" x14ac:dyDescent="0.3">
      <c r="A40" s="1">
        <v>1039</v>
      </c>
      <c r="B40" s="1" t="s">
        <v>8</v>
      </c>
      <c r="C40" s="2">
        <v>43513</v>
      </c>
      <c r="D40" s="2">
        <v>44923</v>
      </c>
      <c r="E40" s="1" t="s">
        <v>21</v>
      </c>
      <c r="F40" s="1" t="s">
        <v>14</v>
      </c>
      <c r="G40" s="1" t="s">
        <v>18</v>
      </c>
      <c r="H40" s="1">
        <v>24</v>
      </c>
      <c r="I40" s="1">
        <f t="shared" ca="1" si="3"/>
        <v>3.9</v>
      </c>
      <c r="J40" s="1">
        <f t="shared" si="4"/>
        <v>2019</v>
      </c>
      <c r="K40" s="1" t="str">
        <f t="shared" si="5"/>
        <v>Feb</v>
      </c>
      <c r="L40" s="1">
        <f t="shared" si="6"/>
        <v>2022</v>
      </c>
      <c r="M40" s="1" t="str">
        <f t="shared" si="7"/>
        <v>20-29 Years</v>
      </c>
      <c r="N40" s="1" t="str">
        <f t="shared" ca="1" si="8"/>
        <v>3-5 Years</v>
      </c>
      <c r="O40" s="1" t="str">
        <f t="shared" si="9"/>
        <v>Exited</v>
      </c>
    </row>
    <row r="41" spans="1:15" x14ac:dyDescent="0.3">
      <c r="A41" s="1">
        <v>1040</v>
      </c>
      <c r="B41" s="1" t="s">
        <v>20</v>
      </c>
      <c r="C41" s="2">
        <v>44180</v>
      </c>
      <c r="D41" s="2"/>
      <c r="E41" s="1" t="s">
        <v>40</v>
      </c>
      <c r="F41" s="1" t="s">
        <v>9</v>
      </c>
      <c r="G41" s="1" t="s">
        <v>18</v>
      </c>
      <c r="H41" s="1">
        <v>37</v>
      </c>
      <c r="I41" s="1">
        <f t="shared" ca="1" si="3"/>
        <v>5.6999999999999993</v>
      </c>
      <c r="J41" s="1">
        <f t="shared" si="4"/>
        <v>2020</v>
      </c>
      <c r="K41" s="1" t="str">
        <f t="shared" si="5"/>
        <v>Dec</v>
      </c>
      <c r="L41" s="1" t="str">
        <f t="shared" si="6"/>
        <v>Active</v>
      </c>
      <c r="M41" s="1" t="str">
        <f t="shared" si="7"/>
        <v>30-39 Years</v>
      </c>
      <c r="N41" s="1" t="str">
        <f t="shared" ca="1" si="8"/>
        <v>More than 5 Years</v>
      </c>
      <c r="O41" s="1" t="str">
        <f t="shared" si="9"/>
        <v>Active</v>
      </c>
    </row>
    <row r="42" spans="1:15" x14ac:dyDescent="0.3">
      <c r="A42" s="1">
        <v>1041</v>
      </c>
      <c r="B42" s="1" t="s">
        <v>19</v>
      </c>
      <c r="C42" s="2">
        <v>44099</v>
      </c>
      <c r="D42" s="2"/>
      <c r="E42" s="1" t="s">
        <v>40</v>
      </c>
      <c r="F42" s="1" t="s">
        <v>9</v>
      </c>
      <c r="G42" s="1" t="s">
        <v>10</v>
      </c>
      <c r="H42" s="1">
        <v>23</v>
      </c>
      <c r="I42" s="1">
        <f t="shared" ca="1" si="3"/>
        <v>5.8999999999999995</v>
      </c>
      <c r="J42" s="1">
        <f t="shared" si="4"/>
        <v>2020</v>
      </c>
      <c r="K42" s="1" t="str">
        <f t="shared" si="5"/>
        <v>Sep</v>
      </c>
      <c r="L42" s="1" t="str">
        <f t="shared" si="6"/>
        <v>Active</v>
      </c>
      <c r="M42" s="1" t="str">
        <f t="shared" si="7"/>
        <v>20-29 Years</v>
      </c>
      <c r="N42" s="1" t="str">
        <f t="shared" ca="1" si="8"/>
        <v>More than 5 Years</v>
      </c>
      <c r="O42" s="1" t="str">
        <f t="shared" si="9"/>
        <v>Active</v>
      </c>
    </row>
    <row r="43" spans="1:15" x14ac:dyDescent="0.3">
      <c r="A43" s="1">
        <v>1042</v>
      </c>
      <c r="B43" s="1" t="s">
        <v>19</v>
      </c>
      <c r="C43" s="2">
        <v>45632</v>
      </c>
      <c r="D43" s="2"/>
      <c r="E43" s="1" t="s">
        <v>40</v>
      </c>
      <c r="F43" s="1" t="s">
        <v>9</v>
      </c>
      <c r="G43" s="1" t="s">
        <v>12</v>
      </c>
      <c r="H43" s="1">
        <v>31</v>
      </c>
      <c r="I43" s="1">
        <f t="shared" ca="1" si="3"/>
        <v>1.7000000000000002</v>
      </c>
      <c r="J43" s="1">
        <f t="shared" si="4"/>
        <v>2024</v>
      </c>
      <c r="K43" s="1" t="str">
        <f t="shared" si="5"/>
        <v>Dec</v>
      </c>
      <c r="L43" s="1" t="str">
        <f t="shared" si="6"/>
        <v>Active</v>
      </c>
      <c r="M43" s="1" t="str">
        <f t="shared" si="7"/>
        <v>30-39 Years</v>
      </c>
      <c r="N43" s="1" t="str">
        <f t="shared" ca="1" si="8"/>
        <v>1-3 Years</v>
      </c>
      <c r="O43" s="1" t="str">
        <f t="shared" si="9"/>
        <v>Active</v>
      </c>
    </row>
    <row r="44" spans="1:15" x14ac:dyDescent="0.3">
      <c r="A44" s="1">
        <v>1043</v>
      </c>
      <c r="B44" s="1" t="s">
        <v>20</v>
      </c>
      <c r="C44" s="2">
        <v>45294</v>
      </c>
      <c r="D44" s="2"/>
      <c r="E44" s="1" t="s">
        <v>40</v>
      </c>
      <c r="F44" s="1" t="s">
        <v>9</v>
      </c>
      <c r="G44" s="1" t="s">
        <v>18</v>
      </c>
      <c r="H44" s="1">
        <v>52</v>
      </c>
      <c r="I44" s="1">
        <f t="shared" ca="1" si="3"/>
        <v>2.6</v>
      </c>
      <c r="J44" s="1">
        <f t="shared" si="4"/>
        <v>2024</v>
      </c>
      <c r="K44" s="1" t="str">
        <f t="shared" si="5"/>
        <v>Jan</v>
      </c>
      <c r="L44" s="1" t="str">
        <f t="shared" si="6"/>
        <v>Active</v>
      </c>
      <c r="M44" s="1" t="str">
        <f t="shared" si="7"/>
        <v>50+ Years</v>
      </c>
      <c r="N44" s="1" t="str">
        <f t="shared" ca="1" si="8"/>
        <v>1-3 Years</v>
      </c>
      <c r="O44" s="1" t="str">
        <f t="shared" si="9"/>
        <v>Active</v>
      </c>
    </row>
    <row r="45" spans="1:15" x14ac:dyDescent="0.3">
      <c r="A45" s="1">
        <v>1044</v>
      </c>
      <c r="B45" s="1" t="s">
        <v>15</v>
      </c>
      <c r="C45" s="2">
        <v>44590</v>
      </c>
      <c r="D45" s="2"/>
      <c r="E45" s="1" t="s">
        <v>40</v>
      </c>
      <c r="F45" s="1" t="s">
        <v>9</v>
      </c>
      <c r="G45" s="1" t="s">
        <v>18</v>
      </c>
      <c r="H45" s="1">
        <v>25</v>
      </c>
      <c r="I45" s="1">
        <f t="shared" ca="1" si="3"/>
        <v>4.5999999999999996</v>
      </c>
      <c r="J45" s="1">
        <f t="shared" si="4"/>
        <v>2022</v>
      </c>
      <c r="K45" s="1" t="str">
        <f t="shared" si="5"/>
        <v>Jan</v>
      </c>
      <c r="L45" s="1" t="str">
        <f t="shared" si="6"/>
        <v>Active</v>
      </c>
      <c r="M45" s="1" t="str">
        <f t="shared" si="7"/>
        <v>20-29 Years</v>
      </c>
      <c r="N45" s="1" t="str">
        <f t="shared" ca="1" si="8"/>
        <v>3-5 Years</v>
      </c>
      <c r="O45" s="1" t="str">
        <f t="shared" si="9"/>
        <v>Active</v>
      </c>
    </row>
    <row r="46" spans="1:15" x14ac:dyDescent="0.3">
      <c r="A46" s="1">
        <v>1045</v>
      </c>
      <c r="B46" s="1" t="s">
        <v>11</v>
      </c>
      <c r="C46" s="2">
        <v>45215</v>
      </c>
      <c r="D46" s="2"/>
      <c r="E46" s="1" t="s">
        <v>40</v>
      </c>
      <c r="F46" s="1" t="s">
        <v>9</v>
      </c>
      <c r="G46" s="1" t="s">
        <v>10</v>
      </c>
      <c r="H46" s="1">
        <v>46</v>
      </c>
      <c r="I46" s="1">
        <f t="shared" ca="1" si="3"/>
        <v>2.8000000000000003</v>
      </c>
      <c r="J46" s="1">
        <f t="shared" si="4"/>
        <v>2023</v>
      </c>
      <c r="K46" s="1" t="str">
        <f t="shared" si="5"/>
        <v>Oct</v>
      </c>
      <c r="L46" s="1" t="str">
        <f t="shared" si="6"/>
        <v>Active</v>
      </c>
      <c r="M46" s="1" t="str">
        <f t="shared" si="7"/>
        <v>40-49 Years</v>
      </c>
      <c r="N46" s="1" t="str">
        <f t="shared" ca="1" si="8"/>
        <v>1-3 Years</v>
      </c>
      <c r="O46" s="1" t="str">
        <f t="shared" si="9"/>
        <v>Active</v>
      </c>
    </row>
    <row r="47" spans="1:15" x14ac:dyDescent="0.3">
      <c r="A47" s="1">
        <v>1046</v>
      </c>
      <c r="B47" s="1" t="s">
        <v>11</v>
      </c>
      <c r="C47" s="2">
        <v>43624</v>
      </c>
      <c r="D47" s="2">
        <v>44228</v>
      </c>
      <c r="E47" s="1" t="s">
        <v>23</v>
      </c>
      <c r="F47" s="1" t="s">
        <v>14</v>
      </c>
      <c r="G47" s="1" t="s">
        <v>18</v>
      </c>
      <c r="H47" s="1">
        <v>24</v>
      </c>
      <c r="I47" s="1">
        <f t="shared" ca="1" si="3"/>
        <v>1.7000000000000002</v>
      </c>
      <c r="J47" s="1">
        <f t="shared" si="4"/>
        <v>2019</v>
      </c>
      <c r="K47" s="1" t="str">
        <f t="shared" si="5"/>
        <v>Jun</v>
      </c>
      <c r="L47" s="1">
        <f t="shared" si="6"/>
        <v>2021</v>
      </c>
      <c r="M47" s="1" t="str">
        <f t="shared" si="7"/>
        <v>20-29 Years</v>
      </c>
      <c r="N47" s="1" t="str">
        <f t="shared" ca="1" si="8"/>
        <v>1-3 Years</v>
      </c>
      <c r="O47" s="1" t="str">
        <f t="shared" si="9"/>
        <v>Exited</v>
      </c>
    </row>
    <row r="48" spans="1:15" x14ac:dyDescent="0.3">
      <c r="A48" s="1">
        <v>1047</v>
      </c>
      <c r="B48" s="1" t="s">
        <v>11</v>
      </c>
      <c r="C48" s="2">
        <v>44514</v>
      </c>
      <c r="D48" s="2">
        <v>45529</v>
      </c>
      <c r="E48" s="1" t="s">
        <v>23</v>
      </c>
      <c r="F48" s="1" t="s">
        <v>14</v>
      </c>
      <c r="G48" s="1" t="s">
        <v>18</v>
      </c>
      <c r="H48" s="1">
        <v>38</v>
      </c>
      <c r="I48" s="1">
        <f t="shared" ca="1" si="3"/>
        <v>2.8000000000000003</v>
      </c>
      <c r="J48" s="1">
        <f t="shared" si="4"/>
        <v>2021</v>
      </c>
      <c r="K48" s="1" t="str">
        <f t="shared" si="5"/>
        <v>Nov</v>
      </c>
      <c r="L48" s="1">
        <f t="shared" si="6"/>
        <v>2024</v>
      </c>
      <c r="M48" s="1" t="str">
        <f t="shared" si="7"/>
        <v>30-39 Years</v>
      </c>
      <c r="N48" s="1" t="str">
        <f t="shared" ca="1" si="8"/>
        <v>1-3 Years</v>
      </c>
      <c r="O48" s="1" t="str">
        <f t="shared" si="9"/>
        <v>Exited</v>
      </c>
    </row>
    <row r="49" spans="1:15" x14ac:dyDescent="0.3">
      <c r="A49" s="1">
        <v>1048</v>
      </c>
      <c r="B49" s="1" t="s">
        <v>17</v>
      </c>
      <c r="C49" s="2">
        <v>43700</v>
      </c>
      <c r="D49" s="2"/>
      <c r="E49" s="1" t="s">
        <v>40</v>
      </c>
      <c r="F49" s="1" t="s">
        <v>9</v>
      </c>
      <c r="G49" s="1" t="s">
        <v>12</v>
      </c>
      <c r="H49" s="1">
        <v>49</v>
      </c>
      <c r="I49" s="1">
        <f t="shared" ca="1" si="3"/>
        <v>7</v>
      </c>
      <c r="J49" s="1">
        <f t="shared" si="4"/>
        <v>2019</v>
      </c>
      <c r="K49" s="1" t="str">
        <f t="shared" si="5"/>
        <v>Aug</v>
      </c>
      <c r="L49" s="1" t="str">
        <f t="shared" si="6"/>
        <v>Active</v>
      </c>
      <c r="M49" s="1" t="str">
        <f t="shared" si="7"/>
        <v>40-49 Years</v>
      </c>
      <c r="N49" s="1" t="str">
        <f t="shared" ca="1" si="8"/>
        <v>More than 5 Years</v>
      </c>
      <c r="O49" s="1" t="str">
        <f t="shared" si="9"/>
        <v>Active</v>
      </c>
    </row>
    <row r="50" spans="1:15" x14ac:dyDescent="0.3">
      <c r="A50" s="1">
        <v>1049</v>
      </c>
      <c r="B50" s="1" t="s">
        <v>19</v>
      </c>
      <c r="C50" s="2">
        <v>45540</v>
      </c>
      <c r="D50" s="2"/>
      <c r="E50" s="1" t="s">
        <v>40</v>
      </c>
      <c r="F50" s="1" t="s">
        <v>9</v>
      </c>
      <c r="G50" s="1" t="s">
        <v>12</v>
      </c>
      <c r="H50" s="1">
        <v>31</v>
      </c>
      <c r="I50" s="1">
        <f t="shared" ca="1" si="3"/>
        <v>2</v>
      </c>
      <c r="J50" s="1">
        <f t="shared" si="4"/>
        <v>2024</v>
      </c>
      <c r="K50" s="1" t="str">
        <f t="shared" si="5"/>
        <v>Sep</v>
      </c>
      <c r="L50" s="1" t="str">
        <f t="shared" si="6"/>
        <v>Active</v>
      </c>
      <c r="M50" s="1" t="str">
        <f t="shared" si="7"/>
        <v>30-39 Years</v>
      </c>
      <c r="N50" s="1" t="str">
        <f t="shared" ca="1" si="8"/>
        <v>1-3 Years</v>
      </c>
      <c r="O50" s="1" t="str">
        <f t="shared" si="9"/>
        <v>Active</v>
      </c>
    </row>
    <row r="51" spans="1:15" x14ac:dyDescent="0.3">
      <c r="A51" s="1">
        <v>1050</v>
      </c>
      <c r="B51" s="1" t="s">
        <v>8</v>
      </c>
      <c r="C51" s="2">
        <v>43297</v>
      </c>
      <c r="D51" s="2">
        <v>44682</v>
      </c>
      <c r="E51" s="1" t="s">
        <v>22</v>
      </c>
      <c r="F51" s="1" t="s">
        <v>14</v>
      </c>
      <c r="G51" s="1" t="s">
        <v>18</v>
      </c>
      <c r="H51" s="1">
        <v>51</v>
      </c>
      <c r="I51" s="1">
        <f t="shared" ca="1" si="3"/>
        <v>3.8000000000000003</v>
      </c>
      <c r="J51" s="1">
        <f t="shared" si="4"/>
        <v>2018</v>
      </c>
      <c r="K51" s="1" t="str">
        <f t="shared" si="5"/>
        <v>Jul</v>
      </c>
      <c r="L51" s="1">
        <f t="shared" si="6"/>
        <v>2022</v>
      </c>
      <c r="M51" s="1" t="str">
        <f t="shared" si="7"/>
        <v>50+ Years</v>
      </c>
      <c r="N51" s="1" t="str">
        <f t="shared" ca="1" si="8"/>
        <v>3-5 Years</v>
      </c>
      <c r="O51" s="1" t="str">
        <f t="shared" si="9"/>
        <v>Exited</v>
      </c>
    </row>
    <row r="52" spans="1:15" x14ac:dyDescent="0.3">
      <c r="A52" s="1">
        <v>1051</v>
      </c>
      <c r="B52" s="1" t="s">
        <v>8</v>
      </c>
      <c r="C52" s="2">
        <v>43407</v>
      </c>
      <c r="D52" s="2"/>
      <c r="E52" s="1" t="s">
        <v>40</v>
      </c>
      <c r="F52" s="1" t="s">
        <v>9</v>
      </c>
      <c r="G52" s="1" t="s">
        <v>10</v>
      </c>
      <c r="H52" s="1">
        <v>27</v>
      </c>
      <c r="I52" s="1">
        <f t="shared" ca="1" si="3"/>
        <v>7.8</v>
      </c>
      <c r="J52" s="1">
        <f t="shared" si="4"/>
        <v>2018</v>
      </c>
      <c r="K52" s="1" t="str">
        <f t="shared" si="5"/>
        <v>Nov</v>
      </c>
      <c r="L52" s="1" t="str">
        <f t="shared" si="6"/>
        <v>Active</v>
      </c>
      <c r="M52" s="1" t="str">
        <f t="shared" si="7"/>
        <v>20-29 Years</v>
      </c>
      <c r="N52" s="1" t="str">
        <f t="shared" ca="1" si="8"/>
        <v>More than 5 Years</v>
      </c>
      <c r="O52" s="1" t="str">
        <f t="shared" si="9"/>
        <v>Active</v>
      </c>
    </row>
    <row r="53" spans="1:15" x14ac:dyDescent="0.3">
      <c r="A53" s="1">
        <v>1052</v>
      </c>
      <c r="B53" s="1" t="s">
        <v>11</v>
      </c>
      <c r="C53" s="2">
        <v>44121</v>
      </c>
      <c r="D53" s="2"/>
      <c r="E53" s="1" t="s">
        <v>40</v>
      </c>
      <c r="F53" s="1" t="s">
        <v>9</v>
      </c>
      <c r="G53" s="1" t="s">
        <v>10</v>
      </c>
      <c r="H53" s="1">
        <v>22</v>
      </c>
      <c r="I53" s="1">
        <f t="shared" ca="1" si="3"/>
        <v>5.8</v>
      </c>
      <c r="J53" s="1">
        <f t="shared" si="4"/>
        <v>2020</v>
      </c>
      <c r="K53" s="1" t="str">
        <f t="shared" si="5"/>
        <v>Oct</v>
      </c>
      <c r="L53" s="1" t="str">
        <f t="shared" si="6"/>
        <v>Active</v>
      </c>
      <c r="M53" s="1" t="str">
        <f t="shared" si="7"/>
        <v>20-29 Years</v>
      </c>
      <c r="N53" s="1" t="str">
        <f t="shared" ca="1" si="8"/>
        <v>More than 5 Years</v>
      </c>
      <c r="O53" s="1" t="str">
        <f t="shared" si="9"/>
        <v>Active</v>
      </c>
    </row>
    <row r="54" spans="1:15" x14ac:dyDescent="0.3">
      <c r="A54" s="1">
        <v>1053</v>
      </c>
      <c r="B54" s="1" t="s">
        <v>11</v>
      </c>
      <c r="C54" s="2">
        <v>44423</v>
      </c>
      <c r="D54" s="2"/>
      <c r="E54" s="1" t="s">
        <v>40</v>
      </c>
      <c r="F54" s="1" t="s">
        <v>9</v>
      </c>
      <c r="G54" s="1" t="s">
        <v>12</v>
      </c>
      <c r="H54" s="1">
        <v>50</v>
      </c>
      <c r="I54" s="1">
        <f t="shared" ca="1" si="3"/>
        <v>5</v>
      </c>
      <c r="J54" s="1">
        <f t="shared" si="4"/>
        <v>2021</v>
      </c>
      <c r="K54" s="1" t="str">
        <f t="shared" si="5"/>
        <v>Aug</v>
      </c>
      <c r="L54" s="1" t="str">
        <f t="shared" si="6"/>
        <v>Active</v>
      </c>
      <c r="M54" s="1" t="str">
        <f t="shared" si="7"/>
        <v>50+ Years</v>
      </c>
      <c r="N54" s="1" t="str">
        <f t="shared" ca="1" si="8"/>
        <v>More than 5 Years</v>
      </c>
      <c r="O54" s="1" t="str">
        <f t="shared" si="9"/>
        <v>Active</v>
      </c>
    </row>
    <row r="55" spans="1:15" x14ac:dyDescent="0.3">
      <c r="A55" s="1">
        <v>1054</v>
      </c>
      <c r="B55" s="1" t="s">
        <v>11</v>
      </c>
      <c r="C55" s="2">
        <v>45087</v>
      </c>
      <c r="D55" s="2"/>
      <c r="E55" s="1" t="s">
        <v>40</v>
      </c>
      <c r="F55" s="1" t="s">
        <v>9</v>
      </c>
      <c r="G55" s="1" t="s">
        <v>12</v>
      </c>
      <c r="H55" s="1">
        <v>24</v>
      </c>
      <c r="I55" s="1">
        <f t="shared" ca="1" si="3"/>
        <v>3.2</v>
      </c>
      <c r="J55" s="1">
        <f t="shared" si="4"/>
        <v>2023</v>
      </c>
      <c r="K55" s="1" t="str">
        <f t="shared" si="5"/>
        <v>Jun</v>
      </c>
      <c r="L55" s="1" t="str">
        <f t="shared" si="6"/>
        <v>Active</v>
      </c>
      <c r="M55" s="1" t="str">
        <f t="shared" si="7"/>
        <v>20-29 Years</v>
      </c>
      <c r="N55" s="1" t="str">
        <f t="shared" ca="1" si="8"/>
        <v>3-5 Years</v>
      </c>
      <c r="O55" s="1" t="str">
        <f t="shared" si="9"/>
        <v>Active</v>
      </c>
    </row>
    <row r="56" spans="1:15" x14ac:dyDescent="0.3">
      <c r="A56" s="1">
        <v>1055</v>
      </c>
      <c r="B56" s="1" t="s">
        <v>11</v>
      </c>
      <c r="C56" s="2">
        <v>43479</v>
      </c>
      <c r="D56" s="2">
        <v>44449</v>
      </c>
      <c r="E56" s="1" t="s">
        <v>13</v>
      </c>
      <c r="F56" s="1" t="s">
        <v>14</v>
      </c>
      <c r="G56" s="1" t="s">
        <v>10</v>
      </c>
      <c r="H56" s="1">
        <v>50</v>
      </c>
      <c r="I56" s="1">
        <f t="shared" ca="1" si="3"/>
        <v>2.7</v>
      </c>
      <c r="J56" s="1">
        <f t="shared" si="4"/>
        <v>2019</v>
      </c>
      <c r="K56" s="1" t="str">
        <f t="shared" si="5"/>
        <v>Jan</v>
      </c>
      <c r="L56" s="1">
        <f t="shared" si="6"/>
        <v>2021</v>
      </c>
      <c r="M56" s="1" t="str">
        <f t="shared" si="7"/>
        <v>50+ Years</v>
      </c>
      <c r="N56" s="1" t="str">
        <f t="shared" ca="1" si="8"/>
        <v>1-3 Years</v>
      </c>
      <c r="O56" s="1" t="str">
        <f t="shared" si="9"/>
        <v>Exited</v>
      </c>
    </row>
    <row r="57" spans="1:15" x14ac:dyDescent="0.3">
      <c r="A57" s="1">
        <v>1056</v>
      </c>
      <c r="B57" s="1" t="s">
        <v>15</v>
      </c>
      <c r="C57" s="2">
        <v>44749</v>
      </c>
      <c r="D57" s="2">
        <v>44972</v>
      </c>
      <c r="E57" s="1" t="s">
        <v>16</v>
      </c>
      <c r="F57" s="1" t="s">
        <v>14</v>
      </c>
      <c r="G57" s="1" t="s">
        <v>10</v>
      </c>
      <c r="H57" s="1">
        <v>28</v>
      </c>
      <c r="I57" s="1">
        <f t="shared" ca="1" si="3"/>
        <v>0.7</v>
      </c>
      <c r="J57" s="1">
        <f t="shared" si="4"/>
        <v>2022</v>
      </c>
      <c r="K57" s="1" t="str">
        <f t="shared" si="5"/>
        <v>Jul</v>
      </c>
      <c r="L57" s="1">
        <f t="shared" si="6"/>
        <v>2023</v>
      </c>
      <c r="M57" s="1" t="str">
        <f t="shared" si="7"/>
        <v>20-29 Years</v>
      </c>
      <c r="N57" s="1" t="str">
        <f t="shared" ca="1" si="8"/>
        <v>Less than 1 Year</v>
      </c>
      <c r="O57" s="1" t="str">
        <f t="shared" si="9"/>
        <v>Exited</v>
      </c>
    </row>
    <row r="58" spans="1:15" x14ac:dyDescent="0.3">
      <c r="A58" s="1">
        <v>1057</v>
      </c>
      <c r="B58" s="1" t="s">
        <v>17</v>
      </c>
      <c r="C58" s="2">
        <v>45457</v>
      </c>
      <c r="D58" s="2"/>
      <c r="E58" s="1" t="s">
        <v>40</v>
      </c>
      <c r="F58" s="1" t="s">
        <v>9</v>
      </c>
      <c r="G58" s="1" t="s">
        <v>10</v>
      </c>
      <c r="H58" s="1">
        <v>40</v>
      </c>
      <c r="I58" s="1">
        <f t="shared" ca="1" si="3"/>
        <v>2.2000000000000002</v>
      </c>
      <c r="J58" s="1">
        <f t="shared" si="4"/>
        <v>2024</v>
      </c>
      <c r="K58" s="1" t="str">
        <f t="shared" si="5"/>
        <v>Jun</v>
      </c>
      <c r="L58" s="1" t="str">
        <f t="shared" si="6"/>
        <v>Active</v>
      </c>
      <c r="M58" s="1" t="str">
        <f t="shared" si="7"/>
        <v>40-49 Years</v>
      </c>
      <c r="N58" s="1" t="str">
        <f t="shared" ca="1" si="8"/>
        <v>1-3 Years</v>
      </c>
      <c r="O58" s="1" t="str">
        <f t="shared" si="9"/>
        <v>Active</v>
      </c>
    </row>
    <row r="59" spans="1:15" x14ac:dyDescent="0.3">
      <c r="A59" s="1">
        <v>1058</v>
      </c>
      <c r="B59" s="1" t="s">
        <v>8</v>
      </c>
      <c r="C59" s="2">
        <v>43304</v>
      </c>
      <c r="D59" s="2"/>
      <c r="E59" s="1" t="s">
        <v>40</v>
      </c>
      <c r="F59" s="1" t="s">
        <v>9</v>
      </c>
      <c r="G59" s="1" t="s">
        <v>18</v>
      </c>
      <c r="H59" s="1">
        <v>32</v>
      </c>
      <c r="I59" s="1">
        <f t="shared" ca="1" si="3"/>
        <v>8.1</v>
      </c>
      <c r="J59" s="1">
        <f t="shared" si="4"/>
        <v>2018</v>
      </c>
      <c r="K59" s="1" t="str">
        <f t="shared" si="5"/>
        <v>Jul</v>
      </c>
      <c r="L59" s="1" t="str">
        <f t="shared" si="6"/>
        <v>Active</v>
      </c>
      <c r="M59" s="1" t="str">
        <f t="shared" si="7"/>
        <v>30-39 Years</v>
      </c>
      <c r="N59" s="1" t="str">
        <f t="shared" ca="1" si="8"/>
        <v>More than 5 Years</v>
      </c>
      <c r="O59" s="1" t="str">
        <f t="shared" si="9"/>
        <v>Active</v>
      </c>
    </row>
    <row r="60" spans="1:15" x14ac:dyDescent="0.3">
      <c r="A60" s="1">
        <v>1059</v>
      </c>
      <c r="B60" s="1" t="s">
        <v>11</v>
      </c>
      <c r="C60" s="2">
        <v>44987</v>
      </c>
      <c r="D60" s="2"/>
      <c r="E60" s="1" t="s">
        <v>40</v>
      </c>
      <c r="F60" s="1" t="s">
        <v>9</v>
      </c>
      <c r="G60" s="1" t="s">
        <v>18</v>
      </c>
      <c r="H60" s="1">
        <v>50</v>
      </c>
      <c r="I60" s="1">
        <f t="shared" ca="1" si="3"/>
        <v>3.5</v>
      </c>
      <c r="J60" s="1">
        <f t="shared" si="4"/>
        <v>2023</v>
      </c>
      <c r="K60" s="1" t="str">
        <f t="shared" si="5"/>
        <v>Mar</v>
      </c>
      <c r="L60" s="1" t="str">
        <f t="shared" si="6"/>
        <v>Active</v>
      </c>
      <c r="M60" s="1" t="str">
        <f t="shared" si="7"/>
        <v>50+ Years</v>
      </c>
      <c r="N60" s="1" t="str">
        <f t="shared" ca="1" si="8"/>
        <v>3-5 Years</v>
      </c>
      <c r="O60" s="1" t="str">
        <f t="shared" si="9"/>
        <v>Active</v>
      </c>
    </row>
    <row r="61" spans="1:15" x14ac:dyDescent="0.3">
      <c r="A61" s="1">
        <v>1060</v>
      </c>
      <c r="B61" s="1" t="s">
        <v>19</v>
      </c>
      <c r="C61" s="2">
        <v>45326</v>
      </c>
      <c r="D61" s="2"/>
      <c r="E61" s="1" t="s">
        <v>40</v>
      </c>
      <c r="F61" s="1" t="s">
        <v>9</v>
      </c>
      <c r="G61" s="1" t="s">
        <v>10</v>
      </c>
      <c r="H61" s="1">
        <v>24</v>
      </c>
      <c r="I61" s="1">
        <f t="shared" ca="1" si="3"/>
        <v>2.5</v>
      </c>
      <c r="J61" s="1">
        <f t="shared" si="4"/>
        <v>2024</v>
      </c>
      <c r="K61" s="1" t="str">
        <f t="shared" si="5"/>
        <v>Feb</v>
      </c>
      <c r="L61" s="1" t="str">
        <f t="shared" si="6"/>
        <v>Active</v>
      </c>
      <c r="M61" s="1" t="str">
        <f t="shared" si="7"/>
        <v>20-29 Years</v>
      </c>
      <c r="N61" s="1" t="str">
        <f t="shared" ca="1" si="8"/>
        <v>1-3 Years</v>
      </c>
      <c r="O61" s="1" t="str">
        <f t="shared" si="9"/>
        <v>Active</v>
      </c>
    </row>
    <row r="62" spans="1:15" x14ac:dyDescent="0.3">
      <c r="A62" s="1">
        <v>1061</v>
      </c>
      <c r="B62" s="1" t="s">
        <v>20</v>
      </c>
      <c r="C62" s="2">
        <v>45474</v>
      </c>
      <c r="D62" s="2"/>
      <c r="E62" s="1" t="s">
        <v>40</v>
      </c>
      <c r="F62" s="1" t="s">
        <v>9</v>
      </c>
      <c r="G62" s="1" t="s">
        <v>12</v>
      </c>
      <c r="H62" s="1">
        <v>36</v>
      </c>
      <c r="I62" s="1">
        <f t="shared" ca="1" si="3"/>
        <v>2.1</v>
      </c>
      <c r="J62" s="1">
        <f t="shared" si="4"/>
        <v>2024</v>
      </c>
      <c r="K62" s="1" t="str">
        <f t="shared" si="5"/>
        <v>Jul</v>
      </c>
      <c r="L62" s="1" t="str">
        <f t="shared" si="6"/>
        <v>Active</v>
      </c>
      <c r="M62" s="1" t="str">
        <f t="shared" si="7"/>
        <v>30-39 Years</v>
      </c>
      <c r="N62" s="1" t="str">
        <f t="shared" ca="1" si="8"/>
        <v>1-3 Years</v>
      </c>
      <c r="O62" s="1" t="str">
        <f t="shared" si="9"/>
        <v>Active</v>
      </c>
    </row>
    <row r="63" spans="1:15" x14ac:dyDescent="0.3">
      <c r="A63" s="1">
        <v>1062</v>
      </c>
      <c r="B63" s="1" t="s">
        <v>17</v>
      </c>
      <c r="C63" s="2">
        <v>44227</v>
      </c>
      <c r="D63" s="2">
        <v>45322</v>
      </c>
      <c r="E63" s="1" t="s">
        <v>16</v>
      </c>
      <c r="F63" s="1" t="s">
        <v>14</v>
      </c>
      <c r="G63" s="1" t="s">
        <v>18</v>
      </c>
      <c r="H63" s="1">
        <v>49</v>
      </c>
      <c r="I63" s="1">
        <f t="shared" ca="1" si="3"/>
        <v>3</v>
      </c>
      <c r="J63" s="1">
        <f t="shared" si="4"/>
        <v>2021</v>
      </c>
      <c r="K63" s="1" t="str">
        <f t="shared" si="5"/>
        <v>Jan</v>
      </c>
      <c r="L63" s="1">
        <f t="shared" si="6"/>
        <v>2024</v>
      </c>
      <c r="M63" s="1" t="str">
        <f t="shared" si="7"/>
        <v>40-49 Years</v>
      </c>
      <c r="N63" s="1" t="str">
        <f t="shared" ca="1" si="8"/>
        <v>3-5 Years</v>
      </c>
      <c r="O63" s="1" t="str">
        <f t="shared" si="9"/>
        <v>Exited</v>
      </c>
    </row>
    <row r="64" spans="1:15" x14ac:dyDescent="0.3">
      <c r="A64" s="1">
        <v>1063</v>
      </c>
      <c r="B64" s="1" t="s">
        <v>8</v>
      </c>
      <c r="C64" s="2">
        <v>43446</v>
      </c>
      <c r="D64" s="2">
        <v>43936</v>
      </c>
      <c r="E64" s="1" t="s">
        <v>21</v>
      </c>
      <c r="F64" s="1" t="s">
        <v>14</v>
      </c>
      <c r="G64" s="1" t="s">
        <v>12</v>
      </c>
      <c r="H64" s="1">
        <v>43</v>
      </c>
      <c r="I64" s="1">
        <f t="shared" ca="1" si="3"/>
        <v>1.4000000000000001</v>
      </c>
      <c r="J64" s="1">
        <f t="shared" si="4"/>
        <v>2018</v>
      </c>
      <c r="K64" s="1" t="str">
        <f t="shared" si="5"/>
        <v>Dec</v>
      </c>
      <c r="L64" s="1">
        <f t="shared" si="6"/>
        <v>2020</v>
      </c>
      <c r="M64" s="1" t="str">
        <f t="shared" si="7"/>
        <v>40-49 Years</v>
      </c>
      <c r="N64" s="1" t="str">
        <f t="shared" ca="1" si="8"/>
        <v>1-3 Years</v>
      </c>
      <c r="O64" s="1" t="str">
        <f t="shared" si="9"/>
        <v>Exited</v>
      </c>
    </row>
    <row r="65" spans="1:15" x14ac:dyDescent="0.3">
      <c r="A65" s="1">
        <v>1064</v>
      </c>
      <c r="B65" s="1" t="s">
        <v>11</v>
      </c>
      <c r="C65" s="2">
        <v>45314</v>
      </c>
      <c r="D65" s="2"/>
      <c r="E65" s="1" t="s">
        <v>40</v>
      </c>
      <c r="F65" s="1" t="s">
        <v>9</v>
      </c>
      <c r="G65" s="1" t="s">
        <v>12</v>
      </c>
      <c r="H65" s="1">
        <v>40</v>
      </c>
      <c r="I65" s="1">
        <f t="shared" ca="1" si="3"/>
        <v>2.6</v>
      </c>
      <c r="J65" s="1">
        <f t="shared" si="4"/>
        <v>2024</v>
      </c>
      <c r="K65" s="1" t="str">
        <f t="shared" si="5"/>
        <v>Jan</v>
      </c>
      <c r="L65" s="1" t="str">
        <f t="shared" si="6"/>
        <v>Active</v>
      </c>
      <c r="M65" s="1" t="str">
        <f t="shared" si="7"/>
        <v>40-49 Years</v>
      </c>
      <c r="N65" s="1" t="str">
        <f t="shared" ca="1" si="8"/>
        <v>1-3 Years</v>
      </c>
      <c r="O65" s="1" t="str">
        <f t="shared" si="9"/>
        <v>Active</v>
      </c>
    </row>
    <row r="66" spans="1:15" x14ac:dyDescent="0.3">
      <c r="A66" s="1">
        <v>1065</v>
      </c>
      <c r="B66" s="1" t="s">
        <v>11</v>
      </c>
      <c r="C66" s="2">
        <v>43123</v>
      </c>
      <c r="D66" s="2"/>
      <c r="E66" s="1" t="s">
        <v>40</v>
      </c>
      <c r="F66" s="1" t="s">
        <v>9</v>
      </c>
      <c r="G66" s="1" t="s">
        <v>18</v>
      </c>
      <c r="H66" s="1">
        <v>42</v>
      </c>
      <c r="I66" s="1">
        <f t="shared" ca="1" si="3"/>
        <v>8.6</v>
      </c>
      <c r="J66" s="1">
        <f t="shared" si="4"/>
        <v>2018</v>
      </c>
      <c r="K66" s="1" t="str">
        <f t="shared" si="5"/>
        <v>Jan</v>
      </c>
      <c r="L66" s="1" t="str">
        <f t="shared" si="6"/>
        <v>Active</v>
      </c>
      <c r="M66" s="1" t="str">
        <f t="shared" ref="M66:M101" si="10">IF(H66&lt;30,"20-29 Years",IF(H66&lt;40,"30-39 Years",IF(H66&lt;50,"40-49 Years","50+ Years")))</f>
        <v>40-49 Years</v>
      </c>
      <c r="N66" s="1" t="str">
        <f t="shared" ref="N66:N101" ca="1" si="11">IF(I66&lt;1,"Less than 1 Year",IF(I66&lt;3,"1-3 Years",IF(I66&lt;5,"3-5 Years","More than 5 Years")))</f>
        <v>More than 5 Years</v>
      </c>
      <c r="O66" s="1" t="str">
        <f t="shared" ref="O66:O101" si="12">IF(F66="Exited","Exited","Active")</f>
        <v>Active</v>
      </c>
    </row>
    <row r="67" spans="1:15" x14ac:dyDescent="0.3">
      <c r="A67" s="1">
        <v>1066</v>
      </c>
      <c r="B67" s="1" t="s">
        <v>8</v>
      </c>
      <c r="C67" s="2">
        <v>43717</v>
      </c>
      <c r="D67" s="2">
        <v>44677</v>
      </c>
      <c r="E67" s="1" t="s">
        <v>22</v>
      </c>
      <c r="F67" s="1" t="s">
        <v>14</v>
      </c>
      <c r="G67" s="1" t="s">
        <v>18</v>
      </c>
      <c r="H67" s="1">
        <v>35</v>
      </c>
      <c r="I67" s="1">
        <f t="shared" ref="I67:I101" ca="1" si="13">IF(ISBLANK(D67),ROUNDUP((TODAY()-C67)/365,1),ROUNDUP((D67-C67)/365,1))</f>
        <v>2.7</v>
      </c>
      <c r="J67" s="1">
        <f t="shared" ref="J67:J101" si="14">YEAR(C67)</f>
        <v>2019</v>
      </c>
      <c r="K67" s="1" t="str">
        <f t="shared" ref="K67:K101" si="15">TEXT(C67,"mmm")</f>
        <v>Sep</v>
      </c>
      <c r="L67" s="1">
        <f t="shared" ref="L67:L101" si="16">IF(D67="","Active",YEAR(D67))</f>
        <v>2022</v>
      </c>
      <c r="M67" s="1" t="str">
        <f t="shared" si="10"/>
        <v>30-39 Years</v>
      </c>
      <c r="N67" s="1" t="str">
        <f t="shared" ca="1" si="11"/>
        <v>1-3 Years</v>
      </c>
      <c r="O67" s="1" t="str">
        <f t="shared" si="12"/>
        <v>Exited</v>
      </c>
    </row>
    <row r="68" spans="1:15" x14ac:dyDescent="0.3">
      <c r="A68" s="1">
        <v>1067</v>
      </c>
      <c r="B68" s="1" t="s">
        <v>17</v>
      </c>
      <c r="C68" s="2">
        <v>43534</v>
      </c>
      <c r="D68" s="2">
        <v>44117</v>
      </c>
      <c r="E68" s="1" t="s">
        <v>21</v>
      </c>
      <c r="F68" s="1" t="s">
        <v>14</v>
      </c>
      <c r="G68" s="1" t="s">
        <v>10</v>
      </c>
      <c r="H68" s="1">
        <v>31</v>
      </c>
      <c r="I68" s="1">
        <f t="shared" ca="1" si="13"/>
        <v>1.6</v>
      </c>
      <c r="J68" s="1">
        <f t="shared" si="14"/>
        <v>2019</v>
      </c>
      <c r="K68" s="1" t="str">
        <f t="shared" si="15"/>
        <v>Mar</v>
      </c>
      <c r="L68" s="1">
        <f t="shared" si="16"/>
        <v>2020</v>
      </c>
      <c r="M68" s="1" t="str">
        <f t="shared" si="10"/>
        <v>30-39 Years</v>
      </c>
      <c r="N68" s="1" t="str">
        <f t="shared" ca="1" si="11"/>
        <v>1-3 Years</v>
      </c>
      <c r="O68" s="1" t="str">
        <f t="shared" si="12"/>
        <v>Exited</v>
      </c>
    </row>
    <row r="69" spans="1:15" x14ac:dyDescent="0.3">
      <c r="A69" s="1">
        <v>1068</v>
      </c>
      <c r="B69" s="1" t="s">
        <v>20</v>
      </c>
      <c r="C69" s="2">
        <v>44619</v>
      </c>
      <c r="D69" s="2"/>
      <c r="E69" s="1" t="s">
        <v>40</v>
      </c>
      <c r="F69" s="1" t="s">
        <v>9</v>
      </c>
      <c r="G69" s="1" t="s">
        <v>18</v>
      </c>
      <c r="H69" s="1">
        <v>51</v>
      </c>
      <c r="I69" s="1">
        <f t="shared" ca="1" si="13"/>
        <v>4.5</v>
      </c>
      <c r="J69" s="1">
        <f t="shared" si="14"/>
        <v>2022</v>
      </c>
      <c r="K69" s="1" t="str">
        <f t="shared" si="15"/>
        <v>Feb</v>
      </c>
      <c r="L69" s="1" t="str">
        <f t="shared" si="16"/>
        <v>Active</v>
      </c>
      <c r="M69" s="1" t="str">
        <f t="shared" si="10"/>
        <v>50+ Years</v>
      </c>
      <c r="N69" s="1" t="str">
        <f t="shared" ca="1" si="11"/>
        <v>3-5 Years</v>
      </c>
      <c r="O69" s="1" t="str">
        <f t="shared" si="12"/>
        <v>Active</v>
      </c>
    </row>
    <row r="70" spans="1:15" x14ac:dyDescent="0.3">
      <c r="A70" s="1">
        <v>1069</v>
      </c>
      <c r="B70" s="1" t="s">
        <v>8</v>
      </c>
      <c r="C70" s="2">
        <v>45485</v>
      </c>
      <c r="D70" s="2"/>
      <c r="E70" s="1" t="s">
        <v>40</v>
      </c>
      <c r="F70" s="1" t="s">
        <v>9</v>
      </c>
      <c r="G70" s="1" t="s">
        <v>18</v>
      </c>
      <c r="H70" s="1">
        <v>48</v>
      </c>
      <c r="I70" s="1">
        <f t="shared" ca="1" si="13"/>
        <v>2.1</v>
      </c>
      <c r="J70" s="1">
        <f t="shared" si="14"/>
        <v>2024</v>
      </c>
      <c r="K70" s="1" t="str">
        <f t="shared" si="15"/>
        <v>Jul</v>
      </c>
      <c r="L70" s="1" t="str">
        <f t="shared" si="16"/>
        <v>Active</v>
      </c>
      <c r="M70" s="1" t="str">
        <f t="shared" si="10"/>
        <v>40-49 Years</v>
      </c>
      <c r="N70" s="1" t="str">
        <f t="shared" ca="1" si="11"/>
        <v>1-3 Years</v>
      </c>
      <c r="O70" s="1" t="str">
        <f t="shared" si="12"/>
        <v>Active</v>
      </c>
    </row>
    <row r="71" spans="1:15" x14ac:dyDescent="0.3">
      <c r="A71" s="1">
        <v>1070</v>
      </c>
      <c r="B71" s="1" t="s">
        <v>17</v>
      </c>
      <c r="C71" s="2">
        <v>43588</v>
      </c>
      <c r="D71" s="2">
        <v>44896</v>
      </c>
      <c r="E71" s="1" t="s">
        <v>23</v>
      </c>
      <c r="F71" s="1" t="s">
        <v>14</v>
      </c>
      <c r="G71" s="1" t="s">
        <v>10</v>
      </c>
      <c r="H71" s="1">
        <v>41</v>
      </c>
      <c r="I71" s="1">
        <f t="shared" ca="1" si="13"/>
        <v>3.6</v>
      </c>
      <c r="J71" s="1">
        <f t="shared" si="14"/>
        <v>2019</v>
      </c>
      <c r="K71" s="1" t="str">
        <f t="shared" si="15"/>
        <v>May</v>
      </c>
      <c r="L71" s="1">
        <f t="shared" si="16"/>
        <v>2022</v>
      </c>
      <c r="M71" s="1" t="str">
        <f t="shared" si="10"/>
        <v>40-49 Years</v>
      </c>
      <c r="N71" s="1" t="str">
        <f t="shared" ca="1" si="11"/>
        <v>3-5 Years</v>
      </c>
      <c r="O71" s="1" t="str">
        <f t="shared" si="12"/>
        <v>Exited</v>
      </c>
    </row>
    <row r="72" spans="1:15" x14ac:dyDescent="0.3">
      <c r="A72" s="1">
        <v>1071</v>
      </c>
      <c r="B72" s="1" t="s">
        <v>20</v>
      </c>
      <c r="C72" s="2">
        <v>44250</v>
      </c>
      <c r="D72" s="2">
        <v>45392</v>
      </c>
      <c r="E72" s="1" t="s">
        <v>16</v>
      </c>
      <c r="F72" s="1" t="s">
        <v>14</v>
      </c>
      <c r="G72" s="1" t="s">
        <v>18</v>
      </c>
      <c r="H72" s="1">
        <v>35</v>
      </c>
      <c r="I72" s="1">
        <f t="shared" ca="1" si="13"/>
        <v>3.2</v>
      </c>
      <c r="J72" s="1">
        <f t="shared" si="14"/>
        <v>2021</v>
      </c>
      <c r="K72" s="1" t="str">
        <f t="shared" si="15"/>
        <v>Feb</v>
      </c>
      <c r="L72" s="1">
        <f t="shared" si="16"/>
        <v>2024</v>
      </c>
      <c r="M72" s="1" t="str">
        <f t="shared" si="10"/>
        <v>30-39 Years</v>
      </c>
      <c r="N72" s="1" t="str">
        <f t="shared" ca="1" si="11"/>
        <v>3-5 Years</v>
      </c>
      <c r="O72" s="1" t="str">
        <f t="shared" si="12"/>
        <v>Exited</v>
      </c>
    </row>
    <row r="73" spans="1:15" x14ac:dyDescent="0.3">
      <c r="A73" s="1">
        <v>1072</v>
      </c>
      <c r="B73" s="1" t="s">
        <v>15</v>
      </c>
      <c r="C73" s="2">
        <v>45244</v>
      </c>
      <c r="D73" s="2">
        <v>45446</v>
      </c>
      <c r="E73" s="1" t="s">
        <v>22</v>
      </c>
      <c r="F73" s="1" t="s">
        <v>14</v>
      </c>
      <c r="G73" s="1" t="s">
        <v>18</v>
      </c>
      <c r="H73" s="1">
        <v>24</v>
      </c>
      <c r="I73" s="1">
        <f t="shared" ca="1" si="13"/>
        <v>0.6</v>
      </c>
      <c r="J73" s="1">
        <f t="shared" si="14"/>
        <v>2023</v>
      </c>
      <c r="K73" s="1" t="str">
        <f t="shared" si="15"/>
        <v>Nov</v>
      </c>
      <c r="L73" s="1">
        <f t="shared" si="16"/>
        <v>2024</v>
      </c>
      <c r="M73" s="1" t="str">
        <f t="shared" si="10"/>
        <v>20-29 Years</v>
      </c>
      <c r="N73" s="1" t="str">
        <f t="shared" ca="1" si="11"/>
        <v>Less than 1 Year</v>
      </c>
      <c r="O73" s="1" t="str">
        <f t="shared" si="12"/>
        <v>Exited</v>
      </c>
    </row>
    <row r="74" spans="1:15" x14ac:dyDescent="0.3">
      <c r="A74" s="1">
        <v>1073</v>
      </c>
      <c r="B74" s="1" t="s">
        <v>11</v>
      </c>
      <c r="C74" s="2">
        <v>45256</v>
      </c>
      <c r="D74" s="2"/>
      <c r="E74" s="1" t="s">
        <v>40</v>
      </c>
      <c r="F74" s="1" t="s">
        <v>9</v>
      </c>
      <c r="G74" s="1" t="s">
        <v>18</v>
      </c>
      <c r="H74" s="1">
        <v>41</v>
      </c>
      <c r="I74" s="1">
        <f t="shared" ca="1" si="13"/>
        <v>2.7</v>
      </c>
      <c r="J74" s="1">
        <f t="shared" si="14"/>
        <v>2023</v>
      </c>
      <c r="K74" s="1" t="str">
        <f t="shared" si="15"/>
        <v>Nov</v>
      </c>
      <c r="L74" s="1" t="str">
        <f t="shared" si="16"/>
        <v>Active</v>
      </c>
      <c r="M74" s="1" t="str">
        <f t="shared" si="10"/>
        <v>40-49 Years</v>
      </c>
      <c r="N74" s="1" t="str">
        <f t="shared" ca="1" si="11"/>
        <v>1-3 Years</v>
      </c>
      <c r="O74" s="1" t="str">
        <f t="shared" si="12"/>
        <v>Active</v>
      </c>
    </row>
    <row r="75" spans="1:15" x14ac:dyDescent="0.3">
      <c r="A75" s="1">
        <v>1074</v>
      </c>
      <c r="B75" s="1" t="s">
        <v>15</v>
      </c>
      <c r="C75" s="2">
        <v>45465</v>
      </c>
      <c r="D75" s="2"/>
      <c r="E75" s="1" t="s">
        <v>40</v>
      </c>
      <c r="F75" s="1" t="s">
        <v>9</v>
      </c>
      <c r="G75" s="1" t="s">
        <v>18</v>
      </c>
      <c r="H75" s="1">
        <v>40</v>
      </c>
      <c r="I75" s="1">
        <f t="shared" ca="1" si="13"/>
        <v>2.2000000000000002</v>
      </c>
      <c r="J75" s="1">
        <f t="shared" si="14"/>
        <v>2024</v>
      </c>
      <c r="K75" s="1" t="str">
        <f t="shared" si="15"/>
        <v>Jun</v>
      </c>
      <c r="L75" s="1" t="str">
        <f t="shared" si="16"/>
        <v>Active</v>
      </c>
      <c r="M75" s="1" t="str">
        <f t="shared" si="10"/>
        <v>40-49 Years</v>
      </c>
      <c r="N75" s="1" t="str">
        <f t="shared" ca="1" si="11"/>
        <v>1-3 Years</v>
      </c>
      <c r="O75" s="1" t="str">
        <f t="shared" si="12"/>
        <v>Active</v>
      </c>
    </row>
    <row r="76" spans="1:15" x14ac:dyDescent="0.3">
      <c r="A76" s="1">
        <v>1075</v>
      </c>
      <c r="B76" s="1" t="s">
        <v>8</v>
      </c>
      <c r="C76" s="2">
        <v>43597</v>
      </c>
      <c r="D76" s="2"/>
      <c r="E76" s="1" t="s">
        <v>40</v>
      </c>
      <c r="F76" s="1" t="s">
        <v>9</v>
      </c>
      <c r="G76" s="1" t="s">
        <v>10</v>
      </c>
      <c r="H76" s="1">
        <v>48</v>
      </c>
      <c r="I76" s="1">
        <f t="shared" ca="1" si="13"/>
        <v>7.3</v>
      </c>
      <c r="J76" s="1">
        <f t="shared" si="14"/>
        <v>2019</v>
      </c>
      <c r="K76" s="1" t="str">
        <f t="shared" si="15"/>
        <v>May</v>
      </c>
      <c r="L76" s="1" t="str">
        <f t="shared" si="16"/>
        <v>Active</v>
      </c>
      <c r="M76" s="1" t="str">
        <f t="shared" si="10"/>
        <v>40-49 Years</v>
      </c>
      <c r="N76" s="1" t="str">
        <f t="shared" ca="1" si="11"/>
        <v>More than 5 Years</v>
      </c>
      <c r="O76" s="1" t="str">
        <f t="shared" si="12"/>
        <v>Active</v>
      </c>
    </row>
    <row r="77" spans="1:15" x14ac:dyDescent="0.3">
      <c r="A77" s="1">
        <v>1076</v>
      </c>
      <c r="B77" s="1" t="s">
        <v>11</v>
      </c>
      <c r="C77" s="2">
        <v>44866</v>
      </c>
      <c r="D77" s="2"/>
      <c r="E77" s="1" t="s">
        <v>40</v>
      </c>
      <c r="F77" s="1" t="s">
        <v>9</v>
      </c>
      <c r="G77" s="1" t="s">
        <v>10</v>
      </c>
      <c r="H77" s="1">
        <v>52</v>
      </c>
      <c r="I77" s="1">
        <f t="shared" ca="1" si="13"/>
        <v>3.8000000000000003</v>
      </c>
      <c r="J77" s="1">
        <f t="shared" si="14"/>
        <v>2022</v>
      </c>
      <c r="K77" s="1" t="str">
        <f t="shared" si="15"/>
        <v>Nov</v>
      </c>
      <c r="L77" s="1" t="str">
        <f t="shared" si="16"/>
        <v>Active</v>
      </c>
      <c r="M77" s="1" t="str">
        <f t="shared" si="10"/>
        <v>50+ Years</v>
      </c>
      <c r="N77" s="1" t="str">
        <f t="shared" ca="1" si="11"/>
        <v>3-5 Years</v>
      </c>
      <c r="O77" s="1" t="str">
        <f t="shared" si="12"/>
        <v>Active</v>
      </c>
    </row>
    <row r="78" spans="1:15" x14ac:dyDescent="0.3">
      <c r="A78" s="1">
        <v>1077</v>
      </c>
      <c r="B78" s="1" t="s">
        <v>19</v>
      </c>
      <c r="C78" s="2">
        <v>44006</v>
      </c>
      <c r="D78" s="2">
        <v>44463</v>
      </c>
      <c r="E78" s="1" t="s">
        <v>24</v>
      </c>
      <c r="F78" s="1" t="s">
        <v>14</v>
      </c>
      <c r="G78" s="1" t="s">
        <v>18</v>
      </c>
      <c r="H78" s="1">
        <v>33</v>
      </c>
      <c r="I78" s="1">
        <f t="shared" ca="1" si="13"/>
        <v>1.3</v>
      </c>
      <c r="J78" s="1">
        <f t="shared" si="14"/>
        <v>2020</v>
      </c>
      <c r="K78" s="1" t="str">
        <f t="shared" si="15"/>
        <v>Jun</v>
      </c>
      <c r="L78" s="1">
        <f t="shared" si="16"/>
        <v>2021</v>
      </c>
      <c r="M78" s="1" t="str">
        <f t="shared" si="10"/>
        <v>30-39 Years</v>
      </c>
      <c r="N78" s="1" t="str">
        <f t="shared" ca="1" si="11"/>
        <v>1-3 Years</v>
      </c>
      <c r="O78" s="1" t="str">
        <f t="shared" si="12"/>
        <v>Exited</v>
      </c>
    </row>
    <row r="79" spans="1:15" x14ac:dyDescent="0.3">
      <c r="A79" s="1">
        <v>1078</v>
      </c>
      <c r="B79" s="1" t="s">
        <v>15</v>
      </c>
      <c r="C79" s="2">
        <v>45095</v>
      </c>
      <c r="D79" s="2"/>
      <c r="E79" s="1" t="s">
        <v>40</v>
      </c>
      <c r="F79" s="1" t="s">
        <v>9</v>
      </c>
      <c r="G79" s="1" t="s">
        <v>12</v>
      </c>
      <c r="H79" s="1">
        <v>51</v>
      </c>
      <c r="I79" s="1">
        <f t="shared" ca="1" si="13"/>
        <v>3.2</v>
      </c>
      <c r="J79" s="1">
        <f t="shared" si="14"/>
        <v>2023</v>
      </c>
      <c r="K79" s="1" t="str">
        <f t="shared" si="15"/>
        <v>Jun</v>
      </c>
      <c r="L79" s="1" t="str">
        <f t="shared" si="16"/>
        <v>Active</v>
      </c>
      <c r="M79" s="1" t="str">
        <f t="shared" si="10"/>
        <v>50+ Years</v>
      </c>
      <c r="N79" s="1" t="str">
        <f t="shared" ca="1" si="11"/>
        <v>3-5 Years</v>
      </c>
      <c r="O79" s="1" t="str">
        <f t="shared" si="12"/>
        <v>Active</v>
      </c>
    </row>
    <row r="80" spans="1:15" x14ac:dyDescent="0.3">
      <c r="A80" s="1">
        <v>1079</v>
      </c>
      <c r="B80" s="1" t="s">
        <v>8</v>
      </c>
      <c r="C80" s="2">
        <v>44360</v>
      </c>
      <c r="D80" s="2">
        <v>44755</v>
      </c>
      <c r="E80" s="1" t="s">
        <v>21</v>
      </c>
      <c r="F80" s="1" t="s">
        <v>14</v>
      </c>
      <c r="G80" s="1" t="s">
        <v>12</v>
      </c>
      <c r="H80" s="1">
        <v>46</v>
      </c>
      <c r="I80" s="1">
        <f t="shared" ca="1" si="13"/>
        <v>1.1000000000000001</v>
      </c>
      <c r="J80" s="1">
        <f t="shared" si="14"/>
        <v>2021</v>
      </c>
      <c r="K80" s="1" t="str">
        <f t="shared" si="15"/>
        <v>Jun</v>
      </c>
      <c r="L80" s="1">
        <f t="shared" si="16"/>
        <v>2022</v>
      </c>
      <c r="M80" s="1" t="str">
        <f t="shared" si="10"/>
        <v>40-49 Years</v>
      </c>
      <c r="N80" s="1" t="str">
        <f t="shared" ca="1" si="11"/>
        <v>1-3 Years</v>
      </c>
      <c r="O80" s="1" t="str">
        <f t="shared" si="12"/>
        <v>Exited</v>
      </c>
    </row>
    <row r="81" spans="1:15" x14ac:dyDescent="0.3">
      <c r="A81" s="1">
        <v>1080</v>
      </c>
      <c r="B81" s="1" t="s">
        <v>15</v>
      </c>
      <c r="C81" s="2">
        <v>43419</v>
      </c>
      <c r="D81" s="2">
        <v>44303</v>
      </c>
      <c r="E81" s="1" t="s">
        <v>13</v>
      </c>
      <c r="F81" s="1" t="s">
        <v>14</v>
      </c>
      <c r="G81" s="1" t="s">
        <v>18</v>
      </c>
      <c r="H81" s="1">
        <v>53</v>
      </c>
      <c r="I81" s="1">
        <f t="shared" ca="1" si="13"/>
        <v>2.5</v>
      </c>
      <c r="J81" s="1">
        <f t="shared" si="14"/>
        <v>2018</v>
      </c>
      <c r="K81" s="1" t="str">
        <f t="shared" si="15"/>
        <v>Nov</v>
      </c>
      <c r="L81" s="1">
        <f t="shared" si="16"/>
        <v>2021</v>
      </c>
      <c r="M81" s="1" t="str">
        <f t="shared" si="10"/>
        <v>50+ Years</v>
      </c>
      <c r="N81" s="1" t="str">
        <f t="shared" ca="1" si="11"/>
        <v>1-3 Years</v>
      </c>
      <c r="O81" s="1" t="str">
        <f t="shared" si="12"/>
        <v>Exited</v>
      </c>
    </row>
    <row r="82" spans="1:15" x14ac:dyDescent="0.3">
      <c r="A82" s="1">
        <v>1081</v>
      </c>
      <c r="B82" s="1" t="s">
        <v>20</v>
      </c>
      <c r="C82" s="2">
        <v>44249</v>
      </c>
      <c r="D82" s="2"/>
      <c r="E82" s="1" t="s">
        <v>40</v>
      </c>
      <c r="F82" s="1" t="s">
        <v>9</v>
      </c>
      <c r="G82" s="1" t="s">
        <v>12</v>
      </c>
      <c r="H82" s="1">
        <v>35</v>
      </c>
      <c r="I82" s="1">
        <f t="shared" ca="1" si="13"/>
        <v>5.5</v>
      </c>
      <c r="J82" s="1">
        <f t="shared" si="14"/>
        <v>2021</v>
      </c>
      <c r="K82" s="1" t="str">
        <f t="shared" si="15"/>
        <v>Feb</v>
      </c>
      <c r="L82" s="1" t="str">
        <f t="shared" si="16"/>
        <v>Active</v>
      </c>
      <c r="M82" s="1" t="str">
        <f t="shared" si="10"/>
        <v>30-39 Years</v>
      </c>
      <c r="N82" s="1" t="str">
        <f t="shared" ca="1" si="11"/>
        <v>More than 5 Years</v>
      </c>
      <c r="O82" s="1" t="str">
        <f t="shared" si="12"/>
        <v>Active</v>
      </c>
    </row>
    <row r="83" spans="1:15" x14ac:dyDescent="0.3">
      <c r="A83" s="1">
        <v>1082</v>
      </c>
      <c r="B83" s="1" t="s">
        <v>8</v>
      </c>
      <c r="C83" s="2">
        <v>45533</v>
      </c>
      <c r="D83" s="2"/>
      <c r="E83" s="1" t="s">
        <v>40</v>
      </c>
      <c r="F83" s="1" t="s">
        <v>9</v>
      </c>
      <c r="G83" s="1" t="s">
        <v>12</v>
      </c>
      <c r="H83" s="1">
        <v>32</v>
      </c>
      <c r="I83" s="1">
        <f t="shared" ca="1" si="13"/>
        <v>2</v>
      </c>
      <c r="J83" s="1">
        <f t="shared" si="14"/>
        <v>2024</v>
      </c>
      <c r="K83" s="1" t="str">
        <f t="shared" si="15"/>
        <v>Aug</v>
      </c>
      <c r="L83" s="1" t="str">
        <f t="shared" si="16"/>
        <v>Active</v>
      </c>
      <c r="M83" s="1" t="str">
        <f t="shared" si="10"/>
        <v>30-39 Years</v>
      </c>
      <c r="N83" s="1" t="str">
        <f t="shared" ca="1" si="11"/>
        <v>1-3 Years</v>
      </c>
      <c r="O83" s="1" t="str">
        <f t="shared" si="12"/>
        <v>Active</v>
      </c>
    </row>
    <row r="84" spans="1:15" x14ac:dyDescent="0.3">
      <c r="A84" s="1">
        <v>1083</v>
      </c>
      <c r="B84" s="1" t="s">
        <v>20</v>
      </c>
      <c r="C84" s="2">
        <v>44377</v>
      </c>
      <c r="D84" s="2"/>
      <c r="E84" s="1" t="s">
        <v>40</v>
      </c>
      <c r="F84" s="1" t="s">
        <v>9</v>
      </c>
      <c r="G84" s="1" t="s">
        <v>10</v>
      </c>
      <c r="H84" s="1">
        <v>46</v>
      </c>
      <c r="I84" s="1">
        <f t="shared" ca="1" si="13"/>
        <v>5.0999999999999996</v>
      </c>
      <c r="J84" s="1">
        <f t="shared" si="14"/>
        <v>2021</v>
      </c>
      <c r="K84" s="1" t="str">
        <f t="shared" si="15"/>
        <v>Jun</v>
      </c>
      <c r="L84" s="1" t="str">
        <f t="shared" si="16"/>
        <v>Active</v>
      </c>
      <c r="M84" s="1" t="str">
        <f t="shared" si="10"/>
        <v>40-49 Years</v>
      </c>
      <c r="N84" s="1" t="str">
        <f t="shared" ca="1" si="11"/>
        <v>More than 5 Years</v>
      </c>
      <c r="O84" s="1" t="str">
        <f t="shared" si="12"/>
        <v>Active</v>
      </c>
    </row>
    <row r="85" spans="1:15" x14ac:dyDescent="0.3">
      <c r="A85" s="1">
        <v>1084</v>
      </c>
      <c r="B85" s="1" t="s">
        <v>8</v>
      </c>
      <c r="C85" s="2">
        <v>44088</v>
      </c>
      <c r="D85" s="2"/>
      <c r="E85" s="1" t="s">
        <v>40</v>
      </c>
      <c r="F85" s="1" t="s">
        <v>9</v>
      </c>
      <c r="G85" s="1" t="s">
        <v>12</v>
      </c>
      <c r="H85" s="1">
        <v>50</v>
      </c>
      <c r="I85" s="1">
        <f t="shared" ca="1" si="13"/>
        <v>5.8999999999999995</v>
      </c>
      <c r="J85" s="1">
        <f t="shared" si="14"/>
        <v>2020</v>
      </c>
      <c r="K85" s="1" t="str">
        <f t="shared" si="15"/>
        <v>Sep</v>
      </c>
      <c r="L85" s="1" t="str">
        <f t="shared" si="16"/>
        <v>Active</v>
      </c>
      <c r="M85" s="1" t="str">
        <f t="shared" si="10"/>
        <v>50+ Years</v>
      </c>
      <c r="N85" s="1" t="str">
        <f t="shared" ca="1" si="11"/>
        <v>More than 5 Years</v>
      </c>
      <c r="O85" s="1" t="str">
        <f t="shared" si="12"/>
        <v>Active</v>
      </c>
    </row>
    <row r="86" spans="1:15" x14ac:dyDescent="0.3">
      <c r="A86" s="1">
        <v>1085</v>
      </c>
      <c r="B86" s="1" t="s">
        <v>15</v>
      </c>
      <c r="C86" s="2">
        <v>43373</v>
      </c>
      <c r="D86" s="2">
        <v>44825</v>
      </c>
      <c r="E86" s="1" t="s">
        <v>16</v>
      </c>
      <c r="F86" s="1" t="s">
        <v>14</v>
      </c>
      <c r="G86" s="1" t="s">
        <v>12</v>
      </c>
      <c r="H86" s="1">
        <v>32</v>
      </c>
      <c r="I86" s="1">
        <f t="shared" ca="1" si="13"/>
        <v>4</v>
      </c>
      <c r="J86" s="1">
        <f t="shared" si="14"/>
        <v>2018</v>
      </c>
      <c r="K86" s="1" t="str">
        <f t="shared" si="15"/>
        <v>Sep</v>
      </c>
      <c r="L86" s="1">
        <f t="shared" si="16"/>
        <v>2022</v>
      </c>
      <c r="M86" s="1" t="str">
        <f t="shared" si="10"/>
        <v>30-39 Years</v>
      </c>
      <c r="N86" s="1" t="str">
        <f t="shared" ca="1" si="11"/>
        <v>3-5 Years</v>
      </c>
      <c r="O86" s="1" t="str">
        <f t="shared" si="12"/>
        <v>Exited</v>
      </c>
    </row>
    <row r="87" spans="1:15" x14ac:dyDescent="0.3">
      <c r="A87" s="1">
        <v>1086</v>
      </c>
      <c r="B87" s="1" t="s">
        <v>15</v>
      </c>
      <c r="C87" s="2">
        <v>43314</v>
      </c>
      <c r="D87" s="2"/>
      <c r="E87" s="1" t="s">
        <v>40</v>
      </c>
      <c r="F87" s="1" t="s">
        <v>9</v>
      </c>
      <c r="G87" s="1" t="s">
        <v>18</v>
      </c>
      <c r="H87" s="1">
        <v>29</v>
      </c>
      <c r="I87" s="1">
        <f t="shared" ca="1" si="13"/>
        <v>8.1</v>
      </c>
      <c r="J87" s="1">
        <f t="shared" si="14"/>
        <v>2018</v>
      </c>
      <c r="K87" s="1" t="str">
        <f t="shared" si="15"/>
        <v>Aug</v>
      </c>
      <c r="L87" s="1" t="str">
        <f t="shared" si="16"/>
        <v>Active</v>
      </c>
      <c r="M87" s="1" t="str">
        <f t="shared" si="10"/>
        <v>20-29 Years</v>
      </c>
      <c r="N87" s="1" t="str">
        <f t="shared" ca="1" si="11"/>
        <v>More than 5 Years</v>
      </c>
      <c r="O87" s="1" t="str">
        <f t="shared" si="12"/>
        <v>Active</v>
      </c>
    </row>
    <row r="88" spans="1:15" x14ac:dyDescent="0.3">
      <c r="A88" s="1">
        <v>1087</v>
      </c>
      <c r="B88" s="1" t="s">
        <v>15</v>
      </c>
      <c r="C88" s="2">
        <v>44418</v>
      </c>
      <c r="D88" s="2">
        <v>45628</v>
      </c>
      <c r="E88" s="1" t="s">
        <v>13</v>
      </c>
      <c r="F88" s="1" t="s">
        <v>14</v>
      </c>
      <c r="G88" s="1" t="s">
        <v>18</v>
      </c>
      <c r="H88" s="1">
        <v>27</v>
      </c>
      <c r="I88" s="1">
        <f t="shared" ca="1" si="13"/>
        <v>3.4</v>
      </c>
      <c r="J88" s="1">
        <f t="shared" si="14"/>
        <v>2021</v>
      </c>
      <c r="K88" s="1" t="str">
        <f t="shared" si="15"/>
        <v>Aug</v>
      </c>
      <c r="L88" s="1">
        <f t="shared" si="16"/>
        <v>2024</v>
      </c>
      <c r="M88" s="1" t="str">
        <f t="shared" si="10"/>
        <v>20-29 Years</v>
      </c>
      <c r="N88" s="1" t="str">
        <f t="shared" ca="1" si="11"/>
        <v>3-5 Years</v>
      </c>
      <c r="O88" s="1" t="str">
        <f t="shared" si="12"/>
        <v>Exited</v>
      </c>
    </row>
    <row r="89" spans="1:15" x14ac:dyDescent="0.3">
      <c r="A89" s="1">
        <v>1088</v>
      </c>
      <c r="B89" s="1" t="s">
        <v>19</v>
      </c>
      <c r="C89" s="2">
        <v>44324</v>
      </c>
      <c r="D89" s="2">
        <v>45076</v>
      </c>
      <c r="E89" s="1" t="s">
        <v>22</v>
      </c>
      <c r="F89" s="1" t="s">
        <v>14</v>
      </c>
      <c r="G89" s="1" t="s">
        <v>10</v>
      </c>
      <c r="H89" s="1">
        <v>31</v>
      </c>
      <c r="I89" s="1">
        <f t="shared" ca="1" si="13"/>
        <v>2.1</v>
      </c>
      <c r="J89" s="1">
        <f t="shared" si="14"/>
        <v>2021</v>
      </c>
      <c r="K89" s="1" t="str">
        <f t="shared" si="15"/>
        <v>May</v>
      </c>
      <c r="L89" s="1">
        <f t="shared" si="16"/>
        <v>2023</v>
      </c>
      <c r="M89" s="1" t="str">
        <f t="shared" si="10"/>
        <v>30-39 Years</v>
      </c>
      <c r="N89" s="1" t="str">
        <f t="shared" ca="1" si="11"/>
        <v>1-3 Years</v>
      </c>
      <c r="O89" s="1" t="str">
        <f t="shared" si="12"/>
        <v>Exited</v>
      </c>
    </row>
    <row r="90" spans="1:15" x14ac:dyDescent="0.3">
      <c r="A90" s="1">
        <v>1089</v>
      </c>
      <c r="B90" s="1" t="s">
        <v>8</v>
      </c>
      <c r="C90" s="2">
        <v>43513</v>
      </c>
      <c r="D90" s="2">
        <v>44923</v>
      </c>
      <c r="E90" s="1" t="s">
        <v>21</v>
      </c>
      <c r="F90" s="1" t="s">
        <v>14</v>
      </c>
      <c r="G90" s="1" t="s">
        <v>18</v>
      </c>
      <c r="H90" s="1">
        <v>24</v>
      </c>
      <c r="I90" s="1">
        <f t="shared" ca="1" si="13"/>
        <v>3.9</v>
      </c>
      <c r="J90" s="1">
        <f t="shared" si="14"/>
        <v>2019</v>
      </c>
      <c r="K90" s="1" t="str">
        <f t="shared" si="15"/>
        <v>Feb</v>
      </c>
      <c r="L90" s="1">
        <f t="shared" si="16"/>
        <v>2022</v>
      </c>
      <c r="M90" s="1" t="str">
        <f t="shared" si="10"/>
        <v>20-29 Years</v>
      </c>
      <c r="N90" s="1" t="str">
        <f t="shared" ca="1" si="11"/>
        <v>3-5 Years</v>
      </c>
      <c r="O90" s="1" t="str">
        <f t="shared" si="12"/>
        <v>Exited</v>
      </c>
    </row>
    <row r="91" spans="1:15" x14ac:dyDescent="0.3">
      <c r="A91" s="1">
        <v>1090</v>
      </c>
      <c r="B91" s="1" t="s">
        <v>20</v>
      </c>
      <c r="C91" s="2">
        <v>44180</v>
      </c>
      <c r="D91" s="2"/>
      <c r="E91" s="1" t="s">
        <v>40</v>
      </c>
      <c r="F91" s="1" t="s">
        <v>9</v>
      </c>
      <c r="G91" s="1" t="s">
        <v>18</v>
      </c>
      <c r="H91" s="1">
        <v>37</v>
      </c>
      <c r="I91" s="1">
        <f t="shared" ca="1" si="13"/>
        <v>5.6999999999999993</v>
      </c>
      <c r="J91" s="1">
        <f t="shared" si="14"/>
        <v>2020</v>
      </c>
      <c r="K91" s="1" t="str">
        <f t="shared" si="15"/>
        <v>Dec</v>
      </c>
      <c r="L91" s="1" t="str">
        <f t="shared" si="16"/>
        <v>Active</v>
      </c>
      <c r="M91" s="1" t="str">
        <f t="shared" si="10"/>
        <v>30-39 Years</v>
      </c>
      <c r="N91" s="1" t="str">
        <f t="shared" ca="1" si="11"/>
        <v>More than 5 Years</v>
      </c>
      <c r="O91" s="1" t="str">
        <f t="shared" si="12"/>
        <v>Active</v>
      </c>
    </row>
    <row r="92" spans="1:15" x14ac:dyDescent="0.3">
      <c r="A92" s="1">
        <v>1091</v>
      </c>
      <c r="B92" s="1" t="s">
        <v>19</v>
      </c>
      <c r="C92" s="2">
        <v>44099</v>
      </c>
      <c r="D92" s="2"/>
      <c r="E92" s="1" t="s">
        <v>40</v>
      </c>
      <c r="F92" s="1" t="s">
        <v>9</v>
      </c>
      <c r="G92" s="1" t="s">
        <v>10</v>
      </c>
      <c r="H92" s="1">
        <v>23</v>
      </c>
      <c r="I92" s="1">
        <f t="shared" ca="1" si="13"/>
        <v>5.8999999999999995</v>
      </c>
      <c r="J92" s="1">
        <f t="shared" si="14"/>
        <v>2020</v>
      </c>
      <c r="K92" s="1" t="str">
        <f t="shared" si="15"/>
        <v>Sep</v>
      </c>
      <c r="L92" s="1" t="str">
        <f t="shared" si="16"/>
        <v>Active</v>
      </c>
      <c r="M92" s="1" t="str">
        <f t="shared" si="10"/>
        <v>20-29 Years</v>
      </c>
      <c r="N92" s="1" t="str">
        <f t="shared" ca="1" si="11"/>
        <v>More than 5 Years</v>
      </c>
      <c r="O92" s="1" t="str">
        <f t="shared" si="12"/>
        <v>Active</v>
      </c>
    </row>
    <row r="93" spans="1:15" x14ac:dyDescent="0.3">
      <c r="A93" s="1">
        <v>1092</v>
      </c>
      <c r="B93" s="1" t="s">
        <v>19</v>
      </c>
      <c r="C93" s="2">
        <v>45632</v>
      </c>
      <c r="D93" s="2"/>
      <c r="E93" s="1" t="s">
        <v>40</v>
      </c>
      <c r="F93" s="1" t="s">
        <v>9</v>
      </c>
      <c r="G93" s="1" t="s">
        <v>12</v>
      </c>
      <c r="H93" s="1">
        <v>31</v>
      </c>
      <c r="I93" s="1">
        <f t="shared" ca="1" si="13"/>
        <v>1.7000000000000002</v>
      </c>
      <c r="J93" s="1">
        <f t="shared" si="14"/>
        <v>2024</v>
      </c>
      <c r="K93" s="1" t="str">
        <f t="shared" si="15"/>
        <v>Dec</v>
      </c>
      <c r="L93" s="1" t="str">
        <f t="shared" si="16"/>
        <v>Active</v>
      </c>
      <c r="M93" s="1" t="str">
        <f t="shared" si="10"/>
        <v>30-39 Years</v>
      </c>
      <c r="N93" s="1" t="str">
        <f t="shared" ca="1" si="11"/>
        <v>1-3 Years</v>
      </c>
      <c r="O93" s="1" t="str">
        <f t="shared" si="12"/>
        <v>Active</v>
      </c>
    </row>
    <row r="94" spans="1:15" x14ac:dyDescent="0.3">
      <c r="A94" s="1">
        <v>1093</v>
      </c>
      <c r="B94" s="1" t="s">
        <v>20</v>
      </c>
      <c r="C94" s="2">
        <v>45294</v>
      </c>
      <c r="D94" s="2"/>
      <c r="E94" s="1" t="s">
        <v>40</v>
      </c>
      <c r="F94" s="1" t="s">
        <v>9</v>
      </c>
      <c r="G94" s="1" t="s">
        <v>18</v>
      </c>
      <c r="H94" s="1">
        <v>52</v>
      </c>
      <c r="I94" s="1">
        <f t="shared" ca="1" si="13"/>
        <v>2.6</v>
      </c>
      <c r="J94" s="1">
        <f t="shared" si="14"/>
        <v>2024</v>
      </c>
      <c r="K94" s="1" t="str">
        <f t="shared" si="15"/>
        <v>Jan</v>
      </c>
      <c r="L94" s="1" t="str">
        <f t="shared" si="16"/>
        <v>Active</v>
      </c>
      <c r="M94" s="1" t="str">
        <f t="shared" si="10"/>
        <v>50+ Years</v>
      </c>
      <c r="N94" s="1" t="str">
        <f t="shared" ca="1" si="11"/>
        <v>1-3 Years</v>
      </c>
      <c r="O94" s="1" t="str">
        <f t="shared" si="12"/>
        <v>Active</v>
      </c>
    </row>
    <row r="95" spans="1:15" x14ac:dyDescent="0.3">
      <c r="A95" s="1">
        <v>1094</v>
      </c>
      <c r="B95" s="1" t="s">
        <v>15</v>
      </c>
      <c r="C95" s="2">
        <v>44590</v>
      </c>
      <c r="D95" s="2"/>
      <c r="E95" s="1" t="s">
        <v>40</v>
      </c>
      <c r="F95" s="1" t="s">
        <v>9</v>
      </c>
      <c r="G95" s="1" t="s">
        <v>18</v>
      </c>
      <c r="H95" s="1">
        <v>25</v>
      </c>
      <c r="I95" s="1">
        <f t="shared" ca="1" si="13"/>
        <v>4.5999999999999996</v>
      </c>
      <c r="J95" s="1">
        <f t="shared" si="14"/>
        <v>2022</v>
      </c>
      <c r="K95" s="1" t="str">
        <f t="shared" si="15"/>
        <v>Jan</v>
      </c>
      <c r="L95" s="1" t="str">
        <f t="shared" si="16"/>
        <v>Active</v>
      </c>
      <c r="M95" s="1" t="str">
        <f t="shared" si="10"/>
        <v>20-29 Years</v>
      </c>
      <c r="N95" s="1" t="str">
        <f t="shared" ca="1" si="11"/>
        <v>3-5 Years</v>
      </c>
      <c r="O95" s="1" t="str">
        <f t="shared" si="12"/>
        <v>Active</v>
      </c>
    </row>
    <row r="96" spans="1:15" x14ac:dyDescent="0.3">
      <c r="A96" s="1">
        <v>1095</v>
      </c>
      <c r="B96" s="1" t="s">
        <v>11</v>
      </c>
      <c r="C96" s="2">
        <v>45215</v>
      </c>
      <c r="D96" s="2"/>
      <c r="E96" s="1" t="s">
        <v>40</v>
      </c>
      <c r="F96" s="1" t="s">
        <v>9</v>
      </c>
      <c r="G96" s="1" t="s">
        <v>10</v>
      </c>
      <c r="H96" s="1">
        <v>46</v>
      </c>
      <c r="I96" s="1">
        <f t="shared" ca="1" si="13"/>
        <v>2.8000000000000003</v>
      </c>
      <c r="J96" s="1">
        <f t="shared" si="14"/>
        <v>2023</v>
      </c>
      <c r="K96" s="1" t="str">
        <f t="shared" si="15"/>
        <v>Oct</v>
      </c>
      <c r="L96" s="1" t="str">
        <f t="shared" si="16"/>
        <v>Active</v>
      </c>
      <c r="M96" s="1" t="str">
        <f t="shared" si="10"/>
        <v>40-49 Years</v>
      </c>
      <c r="N96" s="1" t="str">
        <f t="shared" ca="1" si="11"/>
        <v>1-3 Years</v>
      </c>
      <c r="O96" s="1" t="str">
        <f t="shared" si="12"/>
        <v>Active</v>
      </c>
    </row>
    <row r="97" spans="1:15" x14ac:dyDescent="0.3">
      <c r="A97" s="1">
        <v>1096</v>
      </c>
      <c r="B97" s="1" t="s">
        <v>11</v>
      </c>
      <c r="C97" s="2">
        <v>43624</v>
      </c>
      <c r="D97" s="2">
        <v>44228</v>
      </c>
      <c r="E97" s="1" t="s">
        <v>23</v>
      </c>
      <c r="F97" s="1" t="s">
        <v>14</v>
      </c>
      <c r="G97" s="1" t="s">
        <v>18</v>
      </c>
      <c r="H97" s="1">
        <v>24</v>
      </c>
      <c r="I97" s="1">
        <f t="shared" ca="1" si="13"/>
        <v>1.7000000000000002</v>
      </c>
      <c r="J97" s="1">
        <f t="shared" si="14"/>
        <v>2019</v>
      </c>
      <c r="K97" s="1" t="str">
        <f t="shared" si="15"/>
        <v>Jun</v>
      </c>
      <c r="L97" s="1">
        <f t="shared" si="16"/>
        <v>2021</v>
      </c>
      <c r="M97" s="1" t="str">
        <f t="shared" si="10"/>
        <v>20-29 Years</v>
      </c>
      <c r="N97" s="1" t="str">
        <f t="shared" ca="1" si="11"/>
        <v>1-3 Years</v>
      </c>
      <c r="O97" s="1" t="str">
        <f t="shared" si="12"/>
        <v>Exited</v>
      </c>
    </row>
    <row r="98" spans="1:15" x14ac:dyDescent="0.3">
      <c r="A98" s="1">
        <v>1097</v>
      </c>
      <c r="B98" s="1" t="s">
        <v>11</v>
      </c>
      <c r="C98" s="2">
        <v>44514</v>
      </c>
      <c r="D98" s="2">
        <v>45529</v>
      </c>
      <c r="E98" s="1" t="s">
        <v>23</v>
      </c>
      <c r="F98" s="1" t="s">
        <v>14</v>
      </c>
      <c r="G98" s="1" t="s">
        <v>18</v>
      </c>
      <c r="H98" s="1">
        <v>38</v>
      </c>
      <c r="I98" s="1">
        <f t="shared" ca="1" si="13"/>
        <v>2.8000000000000003</v>
      </c>
      <c r="J98" s="1">
        <f t="shared" si="14"/>
        <v>2021</v>
      </c>
      <c r="K98" s="1" t="str">
        <f t="shared" si="15"/>
        <v>Nov</v>
      </c>
      <c r="L98" s="1">
        <f t="shared" si="16"/>
        <v>2024</v>
      </c>
      <c r="M98" s="1" t="str">
        <f t="shared" si="10"/>
        <v>30-39 Years</v>
      </c>
      <c r="N98" s="1" t="str">
        <f t="shared" ca="1" si="11"/>
        <v>1-3 Years</v>
      </c>
      <c r="O98" s="1" t="str">
        <f t="shared" si="12"/>
        <v>Exited</v>
      </c>
    </row>
    <row r="99" spans="1:15" x14ac:dyDescent="0.3">
      <c r="A99" s="1">
        <v>1098</v>
      </c>
      <c r="B99" s="1" t="s">
        <v>17</v>
      </c>
      <c r="C99" s="2">
        <v>43700</v>
      </c>
      <c r="D99" s="2"/>
      <c r="E99" s="1" t="s">
        <v>40</v>
      </c>
      <c r="F99" s="1" t="s">
        <v>9</v>
      </c>
      <c r="G99" s="1" t="s">
        <v>12</v>
      </c>
      <c r="H99" s="1">
        <v>49</v>
      </c>
      <c r="I99" s="1">
        <f t="shared" ca="1" si="13"/>
        <v>7</v>
      </c>
      <c r="J99" s="1">
        <f t="shared" si="14"/>
        <v>2019</v>
      </c>
      <c r="K99" s="1" t="str">
        <f t="shared" si="15"/>
        <v>Aug</v>
      </c>
      <c r="L99" s="1" t="str">
        <f t="shared" si="16"/>
        <v>Active</v>
      </c>
      <c r="M99" s="1" t="str">
        <f t="shared" si="10"/>
        <v>40-49 Years</v>
      </c>
      <c r="N99" s="1" t="str">
        <f t="shared" ca="1" si="11"/>
        <v>More than 5 Years</v>
      </c>
      <c r="O99" s="1" t="str">
        <f t="shared" si="12"/>
        <v>Active</v>
      </c>
    </row>
    <row r="100" spans="1:15" x14ac:dyDescent="0.3">
      <c r="A100" s="1">
        <v>1099</v>
      </c>
      <c r="B100" s="1" t="s">
        <v>19</v>
      </c>
      <c r="C100" s="2">
        <v>45540</v>
      </c>
      <c r="D100" s="2"/>
      <c r="E100" s="1" t="s">
        <v>40</v>
      </c>
      <c r="F100" s="1" t="s">
        <v>9</v>
      </c>
      <c r="G100" s="1" t="s">
        <v>12</v>
      </c>
      <c r="H100" s="1">
        <v>31</v>
      </c>
      <c r="I100" s="1">
        <f t="shared" ca="1" si="13"/>
        <v>2</v>
      </c>
      <c r="J100" s="1">
        <f t="shared" si="14"/>
        <v>2024</v>
      </c>
      <c r="K100" s="1" t="str">
        <f t="shared" si="15"/>
        <v>Sep</v>
      </c>
      <c r="L100" s="1" t="str">
        <f t="shared" si="16"/>
        <v>Active</v>
      </c>
      <c r="M100" s="1" t="str">
        <f t="shared" si="10"/>
        <v>30-39 Years</v>
      </c>
      <c r="N100" s="1" t="str">
        <f t="shared" ca="1" si="11"/>
        <v>1-3 Years</v>
      </c>
      <c r="O100" s="1" t="str">
        <f t="shared" si="12"/>
        <v>Active</v>
      </c>
    </row>
    <row r="101" spans="1:15" x14ac:dyDescent="0.3">
      <c r="A101" s="1">
        <v>1100</v>
      </c>
      <c r="B101" s="1" t="s">
        <v>8</v>
      </c>
      <c r="C101" s="2">
        <v>43297</v>
      </c>
      <c r="D101" s="2">
        <v>44682</v>
      </c>
      <c r="E101" s="1" t="s">
        <v>22</v>
      </c>
      <c r="F101" s="1" t="s">
        <v>14</v>
      </c>
      <c r="G101" s="1" t="s">
        <v>18</v>
      </c>
      <c r="H101" s="1">
        <v>51</v>
      </c>
      <c r="I101" s="1">
        <f t="shared" ca="1" si="13"/>
        <v>3.8000000000000003</v>
      </c>
      <c r="J101" s="1">
        <f t="shared" si="14"/>
        <v>2018</v>
      </c>
      <c r="K101" s="1" t="str">
        <f t="shared" si="15"/>
        <v>Jul</v>
      </c>
      <c r="L101" s="1">
        <f t="shared" si="16"/>
        <v>2022</v>
      </c>
      <c r="M101" s="1" t="str">
        <f t="shared" si="10"/>
        <v>50+ Years</v>
      </c>
      <c r="N101" s="1" t="str">
        <f t="shared" ca="1" si="11"/>
        <v>3-5 Years</v>
      </c>
      <c r="O101" s="1" t="str">
        <f t="shared" si="12"/>
        <v>Exited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FBBE-2648-43C9-8547-FEB91DE62400}">
  <dimension ref="A2:L117"/>
  <sheetViews>
    <sheetView topLeftCell="E1" workbookViewId="0">
      <selection activeCell="F2" sqref="F2"/>
    </sheetView>
  </sheetViews>
  <sheetFormatPr defaultRowHeight="14.4" x14ac:dyDescent="0.3"/>
  <cols>
    <col min="1" max="1" width="19.109375" bestFit="1" customWidth="1"/>
    <col min="2" max="2" width="26.6640625" bestFit="1" customWidth="1"/>
    <col min="3" max="3" width="22" bestFit="1" customWidth="1"/>
    <col min="4" max="4" width="16" bestFit="1" customWidth="1"/>
    <col min="5" max="5" width="26.6640625" bestFit="1" customWidth="1"/>
    <col min="6" max="6" width="14.77734375" bestFit="1" customWidth="1"/>
    <col min="7" max="7" width="26.6640625" bestFit="1" customWidth="1"/>
    <col min="8" max="8" width="22.44140625" bestFit="1" customWidth="1"/>
    <col min="9" max="9" width="23" bestFit="1" customWidth="1"/>
    <col min="10" max="10" width="26.6640625" bestFit="1" customWidth="1"/>
    <col min="11" max="11" width="8.33203125" bestFit="1" customWidth="1"/>
    <col min="12" max="12" width="14.77734375" bestFit="1" customWidth="1"/>
  </cols>
  <sheetData>
    <row r="2" spans="1:10" ht="19.8" x14ac:dyDescent="0.3">
      <c r="A2" s="8" t="s">
        <v>32</v>
      </c>
      <c r="C2" s="13" t="s">
        <v>1</v>
      </c>
      <c r="D2" s="8" t="s">
        <v>35</v>
      </c>
      <c r="F2" s="13" t="s">
        <v>5</v>
      </c>
      <c r="G2" s="8" t="s">
        <v>35</v>
      </c>
      <c r="I2" s="13" t="s">
        <v>4</v>
      </c>
      <c r="J2" s="8" t="s">
        <v>35</v>
      </c>
    </row>
    <row r="3" spans="1:10" ht="19.8" x14ac:dyDescent="0.3">
      <c r="A3" s="9">
        <v>100</v>
      </c>
      <c r="C3" s="8" t="s">
        <v>19</v>
      </c>
      <c r="D3" s="9">
        <v>12</v>
      </c>
      <c r="F3" s="8" t="s">
        <v>9</v>
      </c>
      <c r="G3" s="9">
        <v>62</v>
      </c>
      <c r="I3" s="8" t="s">
        <v>21</v>
      </c>
      <c r="J3" s="9">
        <v>8</v>
      </c>
    </row>
    <row r="4" spans="1:10" ht="19.8" x14ac:dyDescent="0.3">
      <c r="C4" s="8" t="s">
        <v>15</v>
      </c>
      <c r="D4" s="9">
        <v>18</v>
      </c>
      <c r="F4" s="8" t="s">
        <v>14</v>
      </c>
      <c r="G4" s="9">
        <v>38</v>
      </c>
      <c r="I4" s="8" t="s">
        <v>40</v>
      </c>
      <c r="J4" s="9">
        <v>62</v>
      </c>
    </row>
    <row r="5" spans="1:10" ht="19.8" x14ac:dyDescent="0.3">
      <c r="A5" s="8" t="s">
        <v>37</v>
      </c>
      <c r="C5" s="8" t="s">
        <v>8</v>
      </c>
      <c r="D5" s="9">
        <v>22</v>
      </c>
      <c r="F5" s="8" t="s">
        <v>34</v>
      </c>
      <c r="G5" s="9">
        <v>100</v>
      </c>
      <c r="I5" s="8" t="s">
        <v>16</v>
      </c>
      <c r="J5" s="9">
        <v>8</v>
      </c>
    </row>
    <row r="6" spans="1:10" ht="19.8" x14ac:dyDescent="0.3">
      <c r="A6" s="12">
        <v>3.6439999999999997</v>
      </c>
      <c r="C6" s="8" t="s">
        <v>20</v>
      </c>
      <c r="D6" s="9">
        <v>14</v>
      </c>
      <c r="I6" s="8" t="s">
        <v>23</v>
      </c>
      <c r="J6" s="9">
        <v>6</v>
      </c>
    </row>
    <row r="7" spans="1:10" ht="19.8" x14ac:dyDescent="0.3">
      <c r="C7" s="8" t="s">
        <v>17</v>
      </c>
      <c r="D7" s="9">
        <v>10</v>
      </c>
      <c r="I7" s="8" t="s">
        <v>24</v>
      </c>
      <c r="J7" s="9">
        <v>2</v>
      </c>
    </row>
    <row r="8" spans="1:10" ht="19.8" x14ac:dyDescent="0.3">
      <c r="A8" s="10" t="s">
        <v>38</v>
      </c>
      <c r="C8" s="8" t="s">
        <v>11</v>
      </c>
      <c r="D8" s="9">
        <v>24</v>
      </c>
      <c r="I8" s="8" t="s">
        <v>22</v>
      </c>
      <c r="J8" s="9">
        <v>8</v>
      </c>
    </row>
    <row r="9" spans="1:10" ht="19.8" x14ac:dyDescent="0.3">
      <c r="A9" s="11">
        <f>GETPIVOTDATA("Employee ID",$A$16)/GETPIVOTDATA("Employee ID",$A$2)</f>
        <v>1</v>
      </c>
      <c r="C9" s="8" t="s">
        <v>34</v>
      </c>
      <c r="D9" s="9">
        <v>100</v>
      </c>
      <c r="I9" s="8" t="s">
        <v>13</v>
      </c>
      <c r="J9" s="9">
        <v>6</v>
      </c>
    </row>
    <row r="10" spans="1:10" ht="19.8" x14ac:dyDescent="0.3">
      <c r="I10" s="8" t="s">
        <v>34</v>
      </c>
      <c r="J10" s="9">
        <v>100</v>
      </c>
    </row>
    <row r="11" spans="1:10" ht="19.8" x14ac:dyDescent="0.3">
      <c r="A11" s="8" t="s">
        <v>39</v>
      </c>
    </row>
    <row r="12" spans="1:10" ht="19.8" x14ac:dyDescent="0.3">
      <c r="A12" s="12">
        <v>37.979999999999997</v>
      </c>
      <c r="D12" s="13" t="s">
        <v>26</v>
      </c>
      <c r="E12" s="8" t="s">
        <v>35</v>
      </c>
      <c r="G12" s="13" t="s">
        <v>35</v>
      </c>
      <c r="H12" s="13" t="s">
        <v>41</v>
      </c>
      <c r="I12" s="8"/>
      <c r="J12" s="8"/>
    </row>
    <row r="13" spans="1:10" ht="19.8" x14ac:dyDescent="0.3">
      <c r="D13" s="8">
        <v>2018</v>
      </c>
      <c r="E13" s="9">
        <v>16</v>
      </c>
      <c r="G13" s="13" t="s">
        <v>1</v>
      </c>
      <c r="H13" s="8" t="s">
        <v>9</v>
      </c>
      <c r="I13" s="8" t="s">
        <v>14</v>
      </c>
      <c r="J13" s="8" t="s">
        <v>34</v>
      </c>
    </row>
    <row r="14" spans="1:10" ht="19.8" x14ac:dyDescent="0.4">
      <c r="A14" s="4" t="s">
        <v>5</v>
      </c>
      <c r="B14" s="5" t="s">
        <v>36</v>
      </c>
      <c r="D14" s="8">
        <v>2019</v>
      </c>
      <c r="E14" s="9">
        <v>16</v>
      </c>
      <c r="G14" s="8" t="s">
        <v>11</v>
      </c>
      <c r="H14" s="9">
        <v>18</v>
      </c>
      <c r="I14" s="9">
        <v>6</v>
      </c>
      <c r="J14" s="9">
        <v>24</v>
      </c>
    </row>
    <row r="15" spans="1:10" ht="19.8" x14ac:dyDescent="0.4">
      <c r="A15" s="5"/>
      <c r="B15" s="5"/>
      <c r="D15" s="8">
        <v>2020</v>
      </c>
      <c r="E15" s="9">
        <v>10</v>
      </c>
      <c r="G15" s="8" t="s">
        <v>17</v>
      </c>
      <c r="H15" s="9">
        <v>4</v>
      </c>
      <c r="I15" s="9">
        <v>6</v>
      </c>
      <c r="J15" s="9">
        <v>10</v>
      </c>
    </row>
    <row r="16" spans="1:10" ht="19.8" x14ac:dyDescent="0.4">
      <c r="A16" s="4" t="s">
        <v>33</v>
      </c>
      <c r="B16" s="5" t="s">
        <v>35</v>
      </c>
      <c r="D16" s="8">
        <v>2021</v>
      </c>
      <c r="E16" s="9">
        <v>18</v>
      </c>
      <c r="G16" s="8" t="s">
        <v>20</v>
      </c>
      <c r="H16" s="9">
        <v>12</v>
      </c>
      <c r="I16" s="9">
        <v>2</v>
      </c>
      <c r="J16" s="9">
        <v>14</v>
      </c>
    </row>
    <row r="17" spans="1:12" ht="19.8" x14ac:dyDescent="0.4">
      <c r="A17" s="6">
        <v>1001</v>
      </c>
      <c r="B17" s="7">
        <v>1</v>
      </c>
      <c r="D17" s="8">
        <v>2022</v>
      </c>
      <c r="E17" s="9">
        <v>8</v>
      </c>
      <c r="G17" s="8" t="s">
        <v>8</v>
      </c>
      <c r="H17" s="9">
        <v>12</v>
      </c>
      <c r="I17" s="9">
        <v>10</v>
      </c>
      <c r="J17" s="9">
        <v>22</v>
      </c>
    </row>
    <row r="18" spans="1:12" ht="19.8" x14ac:dyDescent="0.4">
      <c r="A18" s="6">
        <v>1002</v>
      </c>
      <c r="B18" s="7">
        <v>1</v>
      </c>
      <c r="D18" s="8">
        <v>2023</v>
      </c>
      <c r="E18" s="9">
        <v>12</v>
      </c>
      <c r="G18" s="8" t="s">
        <v>15</v>
      </c>
      <c r="H18" s="9">
        <v>8</v>
      </c>
      <c r="I18" s="9">
        <v>10</v>
      </c>
      <c r="J18" s="9">
        <v>18</v>
      </c>
    </row>
    <row r="19" spans="1:12" ht="19.8" x14ac:dyDescent="0.4">
      <c r="A19" s="6">
        <v>1003</v>
      </c>
      <c r="B19" s="7">
        <v>1</v>
      </c>
      <c r="D19" s="8">
        <v>2024</v>
      </c>
      <c r="E19" s="9">
        <v>20</v>
      </c>
      <c r="G19" s="8" t="s">
        <v>19</v>
      </c>
      <c r="H19" s="9">
        <v>8</v>
      </c>
      <c r="I19" s="9">
        <v>4</v>
      </c>
      <c r="J19" s="9">
        <v>12</v>
      </c>
    </row>
    <row r="20" spans="1:12" ht="19.8" x14ac:dyDescent="0.4">
      <c r="A20" s="6">
        <v>1004</v>
      </c>
      <c r="B20" s="7">
        <v>1</v>
      </c>
      <c r="D20" s="8" t="s">
        <v>34</v>
      </c>
      <c r="E20" s="9">
        <v>100</v>
      </c>
      <c r="G20" s="8" t="s">
        <v>34</v>
      </c>
      <c r="H20" s="9">
        <v>62</v>
      </c>
      <c r="I20" s="9">
        <v>38</v>
      </c>
      <c r="J20" s="9">
        <v>100</v>
      </c>
    </row>
    <row r="21" spans="1:12" ht="19.8" x14ac:dyDescent="0.4">
      <c r="A21" s="6">
        <v>1005</v>
      </c>
      <c r="B21" s="7">
        <v>1</v>
      </c>
    </row>
    <row r="22" spans="1:12" ht="19.8" x14ac:dyDescent="0.4">
      <c r="A22" s="6">
        <v>1006</v>
      </c>
      <c r="B22" s="7">
        <v>1</v>
      </c>
    </row>
    <row r="23" spans="1:12" ht="19.8" x14ac:dyDescent="0.4">
      <c r="A23" s="6">
        <v>1007</v>
      </c>
      <c r="B23" s="7">
        <v>1</v>
      </c>
      <c r="D23" s="13" t="s">
        <v>6</v>
      </c>
      <c r="E23" s="8" t="s">
        <v>35</v>
      </c>
      <c r="G23" s="13" t="s">
        <v>29</v>
      </c>
      <c r="H23" s="8" t="s">
        <v>35</v>
      </c>
      <c r="J23" s="13" t="s">
        <v>33</v>
      </c>
      <c r="K23" s="8" t="s">
        <v>35</v>
      </c>
    </row>
    <row r="24" spans="1:12" ht="19.8" x14ac:dyDescent="0.4">
      <c r="A24" s="6">
        <v>1008</v>
      </c>
      <c r="B24" s="7">
        <v>1</v>
      </c>
      <c r="D24" s="8" t="s">
        <v>10</v>
      </c>
      <c r="E24" s="9">
        <v>28</v>
      </c>
      <c r="G24" s="8" t="s">
        <v>42</v>
      </c>
      <c r="H24" s="9">
        <v>24</v>
      </c>
      <c r="J24" s="8" t="s">
        <v>46</v>
      </c>
      <c r="K24" s="9">
        <v>44</v>
      </c>
    </row>
    <row r="25" spans="1:12" ht="19.8" x14ac:dyDescent="0.4">
      <c r="A25" s="6">
        <v>1009</v>
      </c>
      <c r="B25" s="7">
        <v>1</v>
      </c>
      <c r="D25" s="8" t="s">
        <v>12</v>
      </c>
      <c r="E25" s="9">
        <v>28</v>
      </c>
      <c r="G25" s="8" t="s">
        <v>43</v>
      </c>
      <c r="H25" s="9">
        <v>28</v>
      </c>
      <c r="J25" s="8" t="s">
        <v>47</v>
      </c>
      <c r="K25" s="9">
        <v>26</v>
      </c>
    </row>
    <row r="26" spans="1:12" ht="19.8" x14ac:dyDescent="0.4">
      <c r="A26" s="6">
        <v>1010</v>
      </c>
      <c r="B26" s="7">
        <v>1</v>
      </c>
      <c r="D26" s="8" t="s">
        <v>18</v>
      </c>
      <c r="E26" s="9">
        <v>44</v>
      </c>
      <c r="G26" s="8" t="s">
        <v>44</v>
      </c>
      <c r="H26" s="9">
        <v>28</v>
      </c>
      <c r="J26" s="8" t="s">
        <v>48</v>
      </c>
      <c r="K26" s="9">
        <v>4</v>
      </c>
    </row>
    <row r="27" spans="1:12" ht="19.8" x14ac:dyDescent="0.4">
      <c r="A27" s="6">
        <v>1011</v>
      </c>
      <c r="B27" s="7">
        <v>1</v>
      </c>
      <c r="D27" s="8" t="s">
        <v>34</v>
      </c>
      <c r="E27" s="9">
        <v>100</v>
      </c>
      <c r="G27" s="8" t="s">
        <v>45</v>
      </c>
      <c r="H27" s="9">
        <v>20</v>
      </c>
      <c r="J27" s="8" t="s">
        <v>49</v>
      </c>
      <c r="K27" s="9">
        <v>26</v>
      </c>
    </row>
    <row r="28" spans="1:12" ht="19.8" x14ac:dyDescent="0.4">
      <c r="A28" s="6">
        <v>1012</v>
      </c>
      <c r="B28" s="7">
        <v>1</v>
      </c>
      <c r="G28" s="8" t="s">
        <v>34</v>
      </c>
      <c r="H28" s="9">
        <v>100</v>
      </c>
      <c r="J28" s="8" t="s">
        <v>34</v>
      </c>
      <c r="K28" s="9">
        <v>100</v>
      </c>
    </row>
    <row r="29" spans="1:12" ht="19.8" x14ac:dyDescent="0.4">
      <c r="A29" s="6">
        <v>1013</v>
      </c>
      <c r="B29" s="7">
        <v>1</v>
      </c>
    </row>
    <row r="30" spans="1:12" ht="19.8" x14ac:dyDescent="0.4">
      <c r="A30" s="6">
        <v>1014</v>
      </c>
      <c r="B30" s="7">
        <v>1</v>
      </c>
      <c r="D30" s="13" t="s">
        <v>35</v>
      </c>
      <c r="E30" s="13" t="s">
        <v>41</v>
      </c>
      <c r="F30" s="8"/>
      <c r="G30" s="8"/>
      <c r="I30" s="13" t="s">
        <v>35</v>
      </c>
      <c r="J30" s="13" t="s">
        <v>41</v>
      </c>
      <c r="K30" s="8"/>
      <c r="L30" s="8"/>
    </row>
    <row r="31" spans="1:12" ht="19.8" x14ac:dyDescent="0.4">
      <c r="A31" s="6">
        <v>1015</v>
      </c>
      <c r="B31" s="7">
        <v>1</v>
      </c>
      <c r="D31" s="13" t="s">
        <v>33</v>
      </c>
      <c r="E31" s="8" t="s">
        <v>9</v>
      </c>
      <c r="F31" s="8" t="s">
        <v>14</v>
      </c>
      <c r="G31" s="8" t="s">
        <v>34</v>
      </c>
      <c r="I31" s="13" t="s">
        <v>26</v>
      </c>
      <c r="J31" s="8" t="s">
        <v>9</v>
      </c>
      <c r="K31" s="8" t="s">
        <v>14</v>
      </c>
      <c r="L31" s="8" t="s">
        <v>34</v>
      </c>
    </row>
    <row r="32" spans="1:12" ht="19.8" x14ac:dyDescent="0.4">
      <c r="A32" s="6">
        <v>1016</v>
      </c>
      <c r="B32" s="7">
        <v>1</v>
      </c>
      <c r="D32" s="8" t="s">
        <v>50</v>
      </c>
      <c r="E32" s="9">
        <v>8</v>
      </c>
      <c r="F32" s="9">
        <v>8</v>
      </c>
      <c r="G32" s="9">
        <v>16</v>
      </c>
      <c r="I32" s="8">
        <v>2018</v>
      </c>
      <c r="J32" s="9">
        <v>8</v>
      </c>
      <c r="K32" s="9">
        <v>8</v>
      </c>
      <c r="L32" s="9">
        <v>16</v>
      </c>
    </row>
    <row r="33" spans="1:12" ht="19.8" x14ac:dyDescent="0.4">
      <c r="A33" s="6">
        <v>1017</v>
      </c>
      <c r="B33" s="7">
        <v>1</v>
      </c>
      <c r="D33" s="8" t="s">
        <v>51</v>
      </c>
      <c r="E33" s="9">
        <v>4</v>
      </c>
      <c r="F33" s="9">
        <v>12</v>
      </c>
      <c r="G33" s="9">
        <v>16</v>
      </c>
      <c r="I33" s="8">
        <v>2019</v>
      </c>
      <c r="J33" s="9">
        <v>4</v>
      </c>
      <c r="K33" s="9">
        <v>12</v>
      </c>
      <c r="L33" s="9">
        <v>16</v>
      </c>
    </row>
    <row r="34" spans="1:12" ht="19.8" x14ac:dyDescent="0.4">
      <c r="A34" s="6">
        <v>1018</v>
      </c>
      <c r="B34" s="7">
        <v>1</v>
      </c>
      <c r="D34" s="8" t="s">
        <v>52</v>
      </c>
      <c r="E34" s="9">
        <v>8</v>
      </c>
      <c r="F34" s="9">
        <v>2</v>
      </c>
      <c r="G34" s="9">
        <v>10</v>
      </c>
      <c r="I34" s="8">
        <v>2020</v>
      </c>
      <c r="J34" s="9">
        <v>8</v>
      </c>
      <c r="K34" s="9">
        <v>2</v>
      </c>
      <c r="L34" s="9">
        <v>10</v>
      </c>
    </row>
    <row r="35" spans="1:12" ht="19.8" x14ac:dyDescent="0.4">
      <c r="A35" s="6">
        <v>1019</v>
      </c>
      <c r="B35" s="7">
        <v>1</v>
      </c>
      <c r="D35" s="8" t="s">
        <v>53</v>
      </c>
      <c r="E35" s="9">
        <v>6</v>
      </c>
      <c r="F35" s="9">
        <v>12</v>
      </c>
      <c r="G35" s="9">
        <v>18</v>
      </c>
      <c r="I35" s="8">
        <v>2021</v>
      </c>
      <c r="J35" s="9">
        <v>6</v>
      </c>
      <c r="K35" s="9">
        <v>12</v>
      </c>
      <c r="L35" s="9">
        <v>18</v>
      </c>
    </row>
    <row r="36" spans="1:12" ht="19.8" x14ac:dyDescent="0.4">
      <c r="A36" s="6">
        <v>1020</v>
      </c>
      <c r="B36" s="7">
        <v>1</v>
      </c>
      <c r="D36" s="8" t="s">
        <v>54</v>
      </c>
      <c r="E36" s="9">
        <v>6</v>
      </c>
      <c r="F36" s="9">
        <v>2</v>
      </c>
      <c r="G36" s="9">
        <v>8</v>
      </c>
      <c r="I36" s="8">
        <v>2022</v>
      </c>
      <c r="J36" s="9">
        <v>6</v>
      </c>
      <c r="K36" s="9">
        <v>2</v>
      </c>
      <c r="L36" s="9">
        <v>8</v>
      </c>
    </row>
    <row r="37" spans="1:12" ht="19.8" x14ac:dyDescent="0.4">
      <c r="A37" s="6">
        <v>1021</v>
      </c>
      <c r="B37" s="7">
        <v>1</v>
      </c>
      <c r="D37" s="8" t="s">
        <v>55</v>
      </c>
      <c r="E37" s="9">
        <v>10</v>
      </c>
      <c r="F37" s="9">
        <v>2</v>
      </c>
      <c r="G37" s="9">
        <v>12</v>
      </c>
      <c r="I37" s="8">
        <v>2023</v>
      </c>
      <c r="J37" s="9">
        <v>10</v>
      </c>
      <c r="K37" s="9">
        <v>2</v>
      </c>
      <c r="L37" s="9">
        <v>12</v>
      </c>
    </row>
    <row r="38" spans="1:12" ht="19.8" x14ac:dyDescent="0.4">
      <c r="A38" s="6">
        <v>1022</v>
      </c>
      <c r="B38" s="7">
        <v>1</v>
      </c>
      <c r="D38" s="8" t="s">
        <v>56</v>
      </c>
      <c r="E38" s="9">
        <v>20</v>
      </c>
      <c r="F38" s="9"/>
      <c r="G38" s="9">
        <v>20</v>
      </c>
      <c r="I38" s="8">
        <v>2024</v>
      </c>
      <c r="J38" s="9">
        <v>20</v>
      </c>
      <c r="K38" s="9"/>
      <c r="L38" s="9">
        <v>20</v>
      </c>
    </row>
    <row r="39" spans="1:12" ht="19.8" x14ac:dyDescent="0.4">
      <c r="A39" s="6">
        <v>1023</v>
      </c>
      <c r="B39" s="7">
        <v>1</v>
      </c>
      <c r="D39" s="8" t="s">
        <v>34</v>
      </c>
      <c r="E39" s="9">
        <v>62</v>
      </c>
      <c r="F39" s="9">
        <v>38</v>
      </c>
      <c r="G39" s="9">
        <v>100</v>
      </c>
      <c r="I39" s="8" t="s">
        <v>34</v>
      </c>
      <c r="J39" s="9">
        <v>62</v>
      </c>
      <c r="K39" s="9">
        <v>38</v>
      </c>
      <c r="L39" s="9">
        <v>100</v>
      </c>
    </row>
    <row r="40" spans="1:12" ht="19.8" x14ac:dyDescent="0.4">
      <c r="A40" s="6">
        <v>1024</v>
      </c>
      <c r="B40" s="7">
        <v>1</v>
      </c>
    </row>
    <row r="41" spans="1:12" ht="19.8" x14ac:dyDescent="0.4">
      <c r="A41" s="6">
        <v>1025</v>
      </c>
      <c r="B41" s="7">
        <v>1</v>
      </c>
    </row>
    <row r="42" spans="1:12" ht="19.8" x14ac:dyDescent="0.4">
      <c r="A42" s="6">
        <v>1026</v>
      </c>
      <c r="B42" s="7">
        <v>1</v>
      </c>
    </row>
    <row r="43" spans="1:12" ht="19.8" x14ac:dyDescent="0.4">
      <c r="A43" s="6">
        <v>1027</v>
      </c>
      <c r="B43" s="7">
        <v>1</v>
      </c>
    </row>
    <row r="44" spans="1:12" ht="19.8" x14ac:dyDescent="0.4">
      <c r="A44" s="6">
        <v>1028</v>
      </c>
      <c r="B44" s="7">
        <v>1</v>
      </c>
    </row>
    <row r="45" spans="1:12" ht="19.8" x14ac:dyDescent="0.4">
      <c r="A45" s="6">
        <v>1029</v>
      </c>
      <c r="B45" s="7">
        <v>1</v>
      </c>
    </row>
    <row r="46" spans="1:12" ht="19.8" x14ac:dyDescent="0.4">
      <c r="A46" s="6">
        <v>1030</v>
      </c>
      <c r="B46" s="7">
        <v>1</v>
      </c>
    </row>
    <row r="47" spans="1:12" ht="19.8" x14ac:dyDescent="0.4">
      <c r="A47" s="6">
        <v>1031</v>
      </c>
      <c r="B47" s="7">
        <v>1</v>
      </c>
    </row>
    <row r="48" spans="1:12" ht="19.8" x14ac:dyDescent="0.4">
      <c r="A48" s="6">
        <v>1032</v>
      </c>
      <c r="B48" s="7">
        <v>1</v>
      </c>
    </row>
    <row r="49" spans="1:2" ht="19.8" x14ac:dyDescent="0.4">
      <c r="A49" s="6">
        <v>1033</v>
      </c>
      <c r="B49" s="7">
        <v>1</v>
      </c>
    </row>
    <row r="50" spans="1:2" ht="19.8" x14ac:dyDescent="0.4">
      <c r="A50" s="6">
        <v>1034</v>
      </c>
      <c r="B50" s="7">
        <v>1</v>
      </c>
    </row>
    <row r="51" spans="1:2" ht="19.8" x14ac:dyDescent="0.4">
      <c r="A51" s="6">
        <v>1035</v>
      </c>
      <c r="B51" s="7">
        <v>1</v>
      </c>
    </row>
    <row r="52" spans="1:2" ht="19.8" x14ac:dyDescent="0.4">
      <c r="A52" s="6">
        <v>1036</v>
      </c>
      <c r="B52" s="7">
        <v>1</v>
      </c>
    </row>
    <row r="53" spans="1:2" ht="19.8" x14ac:dyDescent="0.4">
      <c r="A53" s="6">
        <v>1037</v>
      </c>
      <c r="B53" s="7">
        <v>1</v>
      </c>
    </row>
    <row r="54" spans="1:2" ht="19.8" x14ac:dyDescent="0.4">
      <c r="A54" s="6">
        <v>1038</v>
      </c>
      <c r="B54" s="7">
        <v>1</v>
      </c>
    </row>
    <row r="55" spans="1:2" ht="19.8" x14ac:dyDescent="0.4">
      <c r="A55" s="6">
        <v>1039</v>
      </c>
      <c r="B55" s="7">
        <v>1</v>
      </c>
    </row>
    <row r="56" spans="1:2" ht="19.8" x14ac:dyDescent="0.4">
      <c r="A56" s="6">
        <v>1040</v>
      </c>
      <c r="B56" s="7">
        <v>1</v>
      </c>
    </row>
    <row r="57" spans="1:2" ht="19.8" x14ac:dyDescent="0.4">
      <c r="A57" s="6">
        <v>1041</v>
      </c>
      <c r="B57" s="7">
        <v>1</v>
      </c>
    </row>
    <row r="58" spans="1:2" ht="19.8" x14ac:dyDescent="0.4">
      <c r="A58" s="6">
        <v>1042</v>
      </c>
      <c r="B58" s="7">
        <v>1</v>
      </c>
    </row>
    <row r="59" spans="1:2" ht="19.8" x14ac:dyDescent="0.4">
      <c r="A59" s="6">
        <v>1043</v>
      </c>
      <c r="B59" s="7">
        <v>1</v>
      </c>
    </row>
    <row r="60" spans="1:2" ht="19.8" x14ac:dyDescent="0.4">
      <c r="A60" s="6">
        <v>1044</v>
      </c>
      <c r="B60" s="7">
        <v>1</v>
      </c>
    </row>
    <row r="61" spans="1:2" ht="19.8" x14ac:dyDescent="0.4">
      <c r="A61" s="6">
        <v>1045</v>
      </c>
      <c r="B61" s="7">
        <v>1</v>
      </c>
    </row>
    <row r="62" spans="1:2" ht="19.8" x14ac:dyDescent="0.4">
      <c r="A62" s="6">
        <v>1046</v>
      </c>
      <c r="B62" s="7">
        <v>1</v>
      </c>
    </row>
    <row r="63" spans="1:2" ht="19.8" x14ac:dyDescent="0.4">
      <c r="A63" s="6">
        <v>1047</v>
      </c>
      <c r="B63" s="7">
        <v>1</v>
      </c>
    </row>
    <row r="64" spans="1:2" ht="19.8" x14ac:dyDescent="0.4">
      <c r="A64" s="6">
        <v>1048</v>
      </c>
      <c r="B64" s="7">
        <v>1</v>
      </c>
    </row>
    <row r="65" spans="1:2" ht="19.8" x14ac:dyDescent="0.4">
      <c r="A65" s="6">
        <v>1049</v>
      </c>
      <c r="B65" s="7">
        <v>1</v>
      </c>
    </row>
    <row r="66" spans="1:2" ht="19.8" x14ac:dyDescent="0.4">
      <c r="A66" s="6">
        <v>1050</v>
      </c>
      <c r="B66" s="7">
        <v>1</v>
      </c>
    </row>
    <row r="67" spans="1:2" ht="19.8" x14ac:dyDescent="0.4">
      <c r="A67" s="6">
        <v>1051</v>
      </c>
      <c r="B67" s="7">
        <v>1</v>
      </c>
    </row>
    <row r="68" spans="1:2" ht="19.8" x14ac:dyDescent="0.4">
      <c r="A68" s="6">
        <v>1052</v>
      </c>
      <c r="B68" s="7">
        <v>1</v>
      </c>
    </row>
    <row r="69" spans="1:2" ht="19.8" x14ac:dyDescent="0.4">
      <c r="A69" s="6">
        <v>1053</v>
      </c>
      <c r="B69" s="7">
        <v>1</v>
      </c>
    </row>
    <row r="70" spans="1:2" ht="19.8" x14ac:dyDescent="0.4">
      <c r="A70" s="6">
        <v>1054</v>
      </c>
      <c r="B70" s="7">
        <v>1</v>
      </c>
    </row>
    <row r="71" spans="1:2" ht="19.8" x14ac:dyDescent="0.4">
      <c r="A71" s="6">
        <v>1055</v>
      </c>
      <c r="B71" s="7">
        <v>1</v>
      </c>
    </row>
    <row r="72" spans="1:2" ht="19.8" x14ac:dyDescent="0.4">
      <c r="A72" s="6">
        <v>1056</v>
      </c>
      <c r="B72" s="7">
        <v>1</v>
      </c>
    </row>
    <row r="73" spans="1:2" ht="19.8" x14ac:dyDescent="0.4">
      <c r="A73" s="6">
        <v>1057</v>
      </c>
      <c r="B73" s="7">
        <v>1</v>
      </c>
    </row>
    <row r="74" spans="1:2" ht="19.8" x14ac:dyDescent="0.4">
      <c r="A74" s="6">
        <v>1058</v>
      </c>
      <c r="B74" s="7">
        <v>1</v>
      </c>
    </row>
    <row r="75" spans="1:2" ht="19.8" x14ac:dyDescent="0.4">
      <c r="A75" s="6">
        <v>1059</v>
      </c>
      <c r="B75" s="7">
        <v>1</v>
      </c>
    </row>
    <row r="76" spans="1:2" ht="19.8" x14ac:dyDescent="0.4">
      <c r="A76" s="6">
        <v>1060</v>
      </c>
      <c r="B76" s="7">
        <v>1</v>
      </c>
    </row>
    <row r="77" spans="1:2" ht="19.8" x14ac:dyDescent="0.4">
      <c r="A77" s="6">
        <v>1061</v>
      </c>
      <c r="B77" s="7">
        <v>1</v>
      </c>
    </row>
    <row r="78" spans="1:2" ht="19.8" x14ac:dyDescent="0.4">
      <c r="A78" s="6">
        <v>1062</v>
      </c>
      <c r="B78" s="7">
        <v>1</v>
      </c>
    </row>
    <row r="79" spans="1:2" ht="19.8" x14ac:dyDescent="0.4">
      <c r="A79" s="6">
        <v>1063</v>
      </c>
      <c r="B79" s="7">
        <v>1</v>
      </c>
    </row>
    <row r="80" spans="1:2" ht="19.8" x14ac:dyDescent="0.4">
      <c r="A80" s="6">
        <v>1064</v>
      </c>
      <c r="B80" s="7">
        <v>1</v>
      </c>
    </row>
    <row r="81" spans="1:2" ht="19.8" x14ac:dyDescent="0.4">
      <c r="A81" s="6">
        <v>1065</v>
      </c>
      <c r="B81" s="7">
        <v>1</v>
      </c>
    </row>
    <row r="82" spans="1:2" ht="19.8" x14ac:dyDescent="0.4">
      <c r="A82" s="6">
        <v>1066</v>
      </c>
      <c r="B82" s="7">
        <v>1</v>
      </c>
    </row>
    <row r="83" spans="1:2" ht="19.8" x14ac:dyDescent="0.4">
      <c r="A83" s="6">
        <v>1067</v>
      </c>
      <c r="B83" s="7">
        <v>1</v>
      </c>
    </row>
    <row r="84" spans="1:2" ht="19.8" x14ac:dyDescent="0.4">
      <c r="A84" s="6">
        <v>1068</v>
      </c>
      <c r="B84" s="7">
        <v>1</v>
      </c>
    </row>
    <row r="85" spans="1:2" ht="19.8" x14ac:dyDescent="0.4">
      <c r="A85" s="6">
        <v>1069</v>
      </c>
      <c r="B85" s="7">
        <v>1</v>
      </c>
    </row>
    <row r="86" spans="1:2" ht="19.8" x14ac:dyDescent="0.4">
      <c r="A86" s="6">
        <v>1070</v>
      </c>
      <c r="B86" s="7">
        <v>1</v>
      </c>
    </row>
    <row r="87" spans="1:2" ht="19.8" x14ac:dyDescent="0.4">
      <c r="A87" s="6">
        <v>1071</v>
      </c>
      <c r="B87" s="7">
        <v>1</v>
      </c>
    </row>
    <row r="88" spans="1:2" ht="19.8" x14ac:dyDescent="0.4">
      <c r="A88" s="6">
        <v>1072</v>
      </c>
      <c r="B88" s="7">
        <v>1</v>
      </c>
    </row>
    <row r="89" spans="1:2" ht="19.8" x14ac:dyDescent="0.4">
      <c r="A89" s="6">
        <v>1073</v>
      </c>
      <c r="B89" s="7">
        <v>1</v>
      </c>
    </row>
    <row r="90" spans="1:2" ht="19.8" x14ac:dyDescent="0.4">
      <c r="A90" s="6">
        <v>1074</v>
      </c>
      <c r="B90" s="7">
        <v>1</v>
      </c>
    </row>
    <row r="91" spans="1:2" ht="19.8" x14ac:dyDescent="0.4">
      <c r="A91" s="6">
        <v>1075</v>
      </c>
      <c r="B91" s="7">
        <v>1</v>
      </c>
    </row>
    <row r="92" spans="1:2" ht="19.8" x14ac:dyDescent="0.4">
      <c r="A92" s="6">
        <v>1076</v>
      </c>
      <c r="B92" s="7">
        <v>1</v>
      </c>
    </row>
    <row r="93" spans="1:2" ht="19.8" x14ac:dyDescent="0.4">
      <c r="A93" s="6">
        <v>1077</v>
      </c>
      <c r="B93" s="7">
        <v>1</v>
      </c>
    </row>
    <row r="94" spans="1:2" ht="19.8" x14ac:dyDescent="0.4">
      <c r="A94" s="6">
        <v>1078</v>
      </c>
      <c r="B94" s="7">
        <v>1</v>
      </c>
    </row>
    <row r="95" spans="1:2" ht="19.8" x14ac:dyDescent="0.4">
      <c r="A95" s="6">
        <v>1079</v>
      </c>
      <c r="B95" s="7">
        <v>1</v>
      </c>
    </row>
    <row r="96" spans="1:2" ht="19.8" x14ac:dyDescent="0.4">
      <c r="A96" s="6">
        <v>1080</v>
      </c>
      <c r="B96" s="7">
        <v>1</v>
      </c>
    </row>
    <row r="97" spans="1:2" ht="19.8" x14ac:dyDescent="0.4">
      <c r="A97" s="6">
        <v>1081</v>
      </c>
      <c r="B97" s="7">
        <v>1</v>
      </c>
    </row>
    <row r="98" spans="1:2" ht="19.8" x14ac:dyDescent="0.4">
      <c r="A98" s="6">
        <v>1082</v>
      </c>
      <c r="B98" s="7">
        <v>1</v>
      </c>
    </row>
    <row r="99" spans="1:2" ht="19.8" x14ac:dyDescent="0.4">
      <c r="A99" s="6">
        <v>1083</v>
      </c>
      <c r="B99" s="7">
        <v>1</v>
      </c>
    </row>
    <row r="100" spans="1:2" ht="19.8" x14ac:dyDescent="0.4">
      <c r="A100" s="6">
        <v>1084</v>
      </c>
      <c r="B100" s="7">
        <v>1</v>
      </c>
    </row>
    <row r="101" spans="1:2" ht="19.8" x14ac:dyDescent="0.4">
      <c r="A101" s="6">
        <v>1085</v>
      </c>
      <c r="B101" s="7">
        <v>1</v>
      </c>
    </row>
    <row r="102" spans="1:2" ht="19.8" x14ac:dyDescent="0.4">
      <c r="A102" s="6">
        <v>1086</v>
      </c>
      <c r="B102" s="7">
        <v>1</v>
      </c>
    </row>
    <row r="103" spans="1:2" ht="19.8" x14ac:dyDescent="0.4">
      <c r="A103" s="6">
        <v>1087</v>
      </c>
      <c r="B103" s="7">
        <v>1</v>
      </c>
    </row>
    <row r="104" spans="1:2" ht="19.8" x14ac:dyDescent="0.4">
      <c r="A104" s="6">
        <v>1088</v>
      </c>
      <c r="B104" s="7">
        <v>1</v>
      </c>
    </row>
    <row r="105" spans="1:2" ht="19.8" x14ac:dyDescent="0.4">
      <c r="A105" s="6">
        <v>1089</v>
      </c>
      <c r="B105" s="7">
        <v>1</v>
      </c>
    </row>
    <row r="106" spans="1:2" ht="19.8" x14ac:dyDescent="0.4">
      <c r="A106" s="6">
        <v>1090</v>
      </c>
      <c r="B106" s="7">
        <v>1</v>
      </c>
    </row>
    <row r="107" spans="1:2" ht="19.8" x14ac:dyDescent="0.4">
      <c r="A107" s="6">
        <v>1091</v>
      </c>
      <c r="B107" s="7">
        <v>1</v>
      </c>
    </row>
    <row r="108" spans="1:2" ht="19.8" x14ac:dyDescent="0.4">
      <c r="A108" s="6">
        <v>1092</v>
      </c>
      <c r="B108" s="7">
        <v>1</v>
      </c>
    </row>
    <row r="109" spans="1:2" ht="19.8" x14ac:dyDescent="0.4">
      <c r="A109" s="6">
        <v>1093</v>
      </c>
      <c r="B109" s="7">
        <v>1</v>
      </c>
    </row>
    <row r="110" spans="1:2" ht="19.8" x14ac:dyDescent="0.4">
      <c r="A110" s="6">
        <v>1094</v>
      </c>
      <c r="B110" s="7">
        <v>1</v>
      </c>
    </row>
    <row r="111" spans="1:2" ht="19.8" x14ac:dyDescent="0.4">
      <c r="A111" s="6">
        <v>1095</v>
      </c>
      <c r="B111" s="7">
        <v>1</v>
      </c>
    </row>
    <row r="112" spans="1:2" ht="19.8" x14ac:dyDescent="0.4">
      <c r="A112" s="6">
        <v>1096</v>
      </c>
      <c r="B112" s="7">
        <v>1</v>
      </c>
    </row>
    <row r="113" spans="1:2" ht="19.8" x14ac:dyDescent="0.4">
      <c r="A113" s="6">
        <v>1097</v>
      </c>
      <c r="B113" s="7">
        <v>1</v>
      </c>
    </row>
    <row r="114" spans="1:2" ht="19.8" x14ac:dyDescent="0.4">
      <c r="A114" s="6">
        <v>1098</v>
      </c>
      <c r="B114" s="7">
        <v>1</v>
      </c>
    </row>
    <row r="115" spans="1:2" ht="19.8" x14ac:dyDescent="0.4">
      <c r="A115" s="6">
        <v>1099</v>
      </c>
      <c r="B115" s="7">
        <v>1</v>
      </c>
    </row>
    <row r="116" spans="1:2" ht="19.8" x14ac:dyDescent="0.4">
      <c r="A116" s="6">
        <v>1100</v>
      </c>
      <c r="B116" s="7">
        <v>1</v>
      </c>
    </row>
    <row r="117" spans="1:2" ht="19.8" x14ac:dyDescent="0.4">
      <c r="A117" s="6" t="s">
        <v>34</v>
      </c>
      <c r="B117" s="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5419-151D-4299-8EE4-8B2646A02F2A}">
  <dimension ref="A1:AA73"/>
  <sheetViews>
    <sheetView tabSelected="1" zoomScale="69" workbookViewId="0">
      <selection activeCell="I28" sqref="I28"/>
    </sheetView>
  </sheetViews>
  <sheetFormatPr defaultRowHeight="14.4" x14ac:dyDescent="0.3"/>
  <cols>
    <col min="1" max="16384" width="8.88671875" style="16"/>
  </cols>
  <sheetData>
    <row r="1" spans="1:27" ht="38.4" x14ac:dyDescent="0.7">
      <c r="A1" s="19" t="s">
        <v>58</v>
      </c>
      <c r="B1" s="19"/>
      <c r="C1" s="19"/>
      <c r="D1" s="19"/>
      <c r="E1" s="19"/>
      <c r="F1" s="19"/>
      <c r="G1" s="19"/>
      <c r="H1" s="19"/>
      <c r="I1" s="19"/>
      <c r="J1" s="19"/>
      <c r="K1" s="19"/>
      <c r="L1" s="19"/>
      <c r="M1" s="19"/>
      <c r="N1" s="19"/>
      <c r="O1" s="19"/>
      <c r="P1" s="19"/>
      <c r="Q1" s="19"/>
      <c r="R1" s="19"/>
      <c r="S1" s="19"/>
      <c r="T1" s="19"/>
      <c r="U1" s="19"/>
      <c r="V1" s="19"/>
      <c r="W1" s="19"/>
      <c r="X1" s="19"/>
      <c r="Y1" s="19"/>
      <c r="Z1" s="19"/>
      <c r="AA1" s="19"/>
    </row>
    <row r="73" spans="1:27" x14ac:dyDescent="0.3">
      <c r="A73" s="17" t="s">
        <v>57</v>
      </c>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sheetData>
  <mergeCells count="2">
    <mergeCell ref="A1:AA1"/>
    <mergeCell ref="A73:AA7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SHAH</dc:creator>
  <cp:lastModifiedBy>SAUMYA SHAH</cp:lastModifiedBy>
  <dcterms:created xsi:type="dcterms:W3CDTF">2015-06-05T18:17:20Z</dcterms:created>
  <dcterms:modified xsi:type="dcterms:W3CDTF">2026-08-02T13:55:47Z</dcterms:modified>
</cp:coreProperties>
</file>